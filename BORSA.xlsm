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BuÇalışmaKitabı"/>
  <mc:AlternateContent xmlns:mc="http://schemas.openxmlformats.org/markup-compatibility/2006">
    <mc:Choice Requires="x15">
      <x15ac:absPath xmlns:x15ac="http://schemas.microsoft.com/office/spreadsheetml/2010/11/ac" url="https://d.docs.live.net/0d78e4b0767f3bf4/Masaüstü/"/>
    </mc:Choice>
  </mc:AlternateContent>
  <xr:revisionPtr revIDLastSave="1567" documentId="8_{13E1ED2A-2209-47D6-B734-5A0591558DED}" xr6:coauthVersionLast="47" xr6:coauthVersionMax="47" xr10:uidLastSave="{1090838F-F184-4234-909B-17B7986244B2}"/>
  <bookViews>
    <workbookView xWindow="-120" yWindow="-120" windowWidth="29040" windowHeight="15840" activeTab="1" xr2:uid="{00000000-000D-0000-FFFF-FFFF00000000}"/>
  </bookViews>
  <sheets>
    <sheet name="Sayfa1" sheetId="1" r:id="rId1"/>
    <sheet name="Sayf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7" i="2" l="1"/>
  <c r="G28" i="2" s="1"/>
  <c r="G30" i="2" s="1"/>
  <c r="G25" i="2"/>
  <c r="G26" i="2" s="1"/>
  <c r="G29" i="2" s="1"/>
  <c r="G24" i="2"/>
  <c r="G23" i="2"/>
  <c r="G22" i="2"/>
  <c r="G21" i="2"/>
  <c r="G14" i="2"/>
  <c r="F7" i="1"/>
  <c r="F10" i="1"/>
  <c r="L10" i="1"/>
  <c r="L11" i="1" s="1"/>
  <c r="L13" i="1" s="1"/>
  <c r="L8" i="1"/>
  <c r="L9" i="1" s="1"/>
  <c r="L12" i="1" s="1"/>
  <c r="L7" i="1"/>
  <c r="L6" i="1"/>
  <c r="L5" i="1"/>
  <c r="L4" i="1"/>
  <c r="G31" i="2" l="1"/>
  <c r="L14" i="1"/>
</calcChain>
</file>

<file path=xl/sharedStrings.xml><?xml version="1.0" encoding="utf-8"?>
<sst xmlns="http://schemas.openxmlformats.org/spreadsheetml/2006/main" count="63" uniqueCount="46">
  <si>
    <t>BİLANÇO TERİMLERİ</t>
  </si>
  <si>
    <t>SAYISAL DEĞERİ</t>
  </si>
  <si>
    <t>CARİ ORAN</t>
  </si>
  <si>
    <t>ALACAK DEVİR HIZI</t>
  </si>
  <si>
    <t>NET KAR MARJI</t>
  </si>
  <si>
    <t>ÖZSERMAYE KARLILIĞI</t>
  </si>
  <si>
    <t>DÖNEN VARLIKLAR</t>
  </si>
  <si>
    <t>DURAN VARLIKLAR</t>
  </si>
  <si>
    <t>TOPLAM VARLIKLAR</t>
  </si>
  <si>
    <t>KISA VADELİ BORÇLAR</t>
  </si>
  <si>
    <t>STOKLAR</t>
  </si>
  <si>
    <t>TİCARİ ALACAKLAR</t>
  </si>
  <si>
    <t>NET KAR</t>
  </si>
  <si>
    <t>NET SATIŞLAR(HASILAT)</t>
  </si>
  <si>
    <t>TOPLAM YÜKÜMLÜLÜKLER</t>
  </si>
  <si>
    <t>F/K</t>
  </si>
  <si>
    <t>BORSA FİYATI</t>
  </si>
  <si>
    <t>DEFTER DEĞERİ</t>
  </si>
  <si>
    <t>PD/DD</t>
  </si>
  <si>
    <t>BİST100 F/K</t>
  </si>
  <si>
    <t>BİST100 PD/DD</t>
  </si>
  <si>
    <t>OGF/K</t>
  </si>
  <si>
    <t>OGPD/DD</t>
  </si>
  <si>
    <t>İÇSEL DEĞER</t>
  </si>
  <si>
    <t>ODAS 13,35</t>
  </si>
  <si>
    <t>ÖZKAYNAKLAR</t>
  </si>
  <si>
    <t>UZUN VADELİ BORÇLAR</t>
  </si>
  <si>
    <t>ENKAI 22,18 (35,80)</t>
  </si>
  <si>
    <t>ÖDENMİŞ SERMAYE</t>
  </si>
  <si>
    <t>TAVHL  150(206,8)</t>
  </si>
  <si>
    <t>EREGL 47.80(81.24)</t>
  </si>
  <si>
    <t>HİSSE BAŞI NET KAR</t>
  </si>
  <si>
    <t>ENJSA 62.15(80.93</t>
  </si>
  <si>
    <t>VESTL 77.25(130,76)</t>
  </si>
  <si>
    <t>AGHOL 324(1405.21)</t>
  </si>
  <si>
    <t>Dönen Varlıklar</t>
  </si>
  <si>
    <t>Stoklar</t>
  </si>
  <si>
    <t>Duran Varlıklar</t>
  </si>
  <si>
    <t>Kısa Vadeli Yükümlülükler</t>
  </si>
  <si>
    <t>Uzun Vadeli Yükümlülükler</t>
  </si>
  <si>
    <t>Özkaynaklar</t>
  </si>
  <si>
    <t>Ödenmiş Sermaye</t>
  </si>
  <si>
    <t>Satış Gelirleri</t>
  </si>
  <si>
    <t>DÖNEM KARI (ZARARI)</t>
  </si>
  <si>
    <t>Ticari Alcaklar</t>
  </si>
  <si>
    <t>Toplam Yükümlülükler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</si>
</sst>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charset val="162"/>
      <scheme val="minor"/>
    </font>
    <font>
      <sz val="9"/>
      <color theme="1"/>
      <name val="Calibri"/>
      <family val="2"/>
      <charset val="162"/>
      <scheme val="minor"/>
    </font>
    <font>
      <sz val="11"/>
      <color theme="0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charset val="16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4" fillId="0" borderId="0" xfId="0" applyFont="1"/>
    <xf numFmtId="0" fontId="5" fillId="0" borderId="0" xfId="0" applyFont="1"/>
    <xf numFmtId="0" fontId="0" fillId="4" borderId="7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24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1" xfId="0" applyFill="1" applyBorder="1"/>
    <xf numFmtId="0" fontId="0" fillId="3" borderId="31" xfId="0" applyFill="1" applyBorder="1" applyAlignment="1">
      <alignment horizontal="center"/>
    </xf>
    <xf numFmtId="4" fontId="8" fillId="3" borderId="30" xfId="0" applyNumberFormat="1" applyFont="1" applyFill="1" applyBorder="1" applyAlignment="1">
      <alignment horizontal="center"/>
    </xf>
    <xf numFmtId="3" fontId="8" fillId="3" borderId="30" xfId="0" applyNumberFormat="1" applyFont="1" applyFill="1" applyBorder="1" applyAlignment="1">
      <alignment horizontal="center"/>
    </xf>
    <xf numFmtId="0" fontId="8" fillId="3" borderId="30" xfId="0" applyFont="1" applyFill="1" applyBorder="1" applyAlignment="1">
      <alignment horizontal="center"/>
    </xf>
    <xf numFmtId="2" fontId="0" fillId="3" borderId="32" xfId="0" applyNumberFormat="1" applyFill="1" applyBorder="1" applyAlignment="1">
      <alignment horizontal="center"/>
    </xf>
    <xf numFmtId="2" fontId="0" fillId="3" borderId="30" xfId="0" applyNumberFormat="1" applyFill="1" applyBorder="1" applyAlignment="1">
      <alignment horizontal="center"/>
    </xf>
    <xf numFmtId="2" fontId="0" fillId="3" borderId="6" xfId="0" applyNumberFormat="1" applyFill="1" applyBorder="1"/>
    <xf numFmtId="2" fontId="0" fillId="3" borderId="25" xfId="0" applyNumberFormat="1" applyFill="1" applyBorder="1"/>
    <xf numFmtId="2" fontId="0" fillId="3" borderId="20" xfId="0" applyNumberFormat="1" applyFill="1" applyBorder="1"/>
    <xf numFmtId="2" fontId="0" fillId="3" borderId="28" xfId="0" applyNumberFormat="1" applyFill="1" applyBorder="1"/>
    <xf numFmtId="2" fontId="0" fillId="3" borderId="22" xfId="0" applyNumberFormat="1" applyFill="1" applyBorder="1"/>
    <xf numFmtId="2" fontId="0" fillId="3" borderId="8" xfId="0" applyNumberFormat="1" applyFill="1" applyBorder="1"/>
    <xf numFmtId="0" fontId="8" fillId="4" borderId="12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3" fontId="8" fillId="3" borderId="1" xfId="0" applyNumberFormat="1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4" fontId="8" fillId="3" borderId="1" xfId="0" applyNumberFormat="1" applyFont="1" applyFill="1" applyBorder="1" applyAlignment="1">
      <alignment horizontal="center"/>
    </xf>
    <xf numFmtId="4" fontId="8" fillId="3" borderId="2" xfId="0" applyNumberFormat="1" applyFont="1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2" fontId="0" fillId="3" borderId="3" xfId="0" applyNumberFormat="1" applyFill="1" applyBorder="1" applyAlignment="1">
      <alignment horizontal="center"/>
    </xf>
    <xf numFmtId="2" fontId="0" fillId="3" borderId="4" xfId="0" applyNumberForma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2" fontId="0" fillId="3" borderId="2" xfId="0" applyNumberForma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4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2" fontId="0" fillId="3" borderId="25" xfId="0" applyNumberFormat="1" applyFill="1" applyBorder="1" applyAlignment="1">
      <alignment horizontal="center"/>
    </xf>
    <xf numFmtId="2" fontId="0" fillId="3" borderId="26" xfId="0" applyNumberFormat="1" applyFill="1" applyBorder="1" applyAlignment="1">
      <alignment horizontal="center"/>
    </xf>
    <xf numFmtId="0" fontId="4" fillId="4" borderId="12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2" fontId="0" fillId="3" borderId="28" xfId="0" applyNumberFormat="1" applyFill="1" applyBorder="1" applyAlignment="1">
      <alignment horizontal="center"/>
    </xf>
    <xf numFmtId="2" fontId="0" fillId="3" borderId="29" xfId="0" applyNumberFormat="1" applyFill="1" applyBorder="1" applyAlignment="1">
      <alignment horizontal="center"/>
    </xf>
    <xf numFmtId="2" fontId="0" fillId="3" borderId="8" xfId="0" applyNumberFormat="1" applyFill="1" applyBorder="1" applyAlignment="1">
      <alignment horizontal="center"/>
    </xf>
    <xf numFmtId="2" fontId="0" fillId="3" borderId="9" xfId="0" applyNumberFormat="1" applyFill="1" applyBorder="1" applyAlignment="1">
      <alignment horizontal="center"/>
    </xf>
    <xf numFmtId="2" fontId="0" fillId="3" borderId="6" xfId="0" applyNumberFormat="1" applyFill="1" applyBorder="1" applyAlignment="1">
      <alignment horizontal="center"/>
    </xf>
    <xf numFmtId="2" fontId="0" fillId="3" borderId="11" xfId="0" applyNumberFormat="1" applyFill="1" applyBorder="1" applyAlignment="1">
      <alignment horizontal="center"/>
    </xf>
    <xf numFmtId="2" fontId="0" fillId="3" borderId="20" xfId="0" applyNumberFormat="1" applyFill="1" applyBorder="1" applyAlignment="1">
      <alignment horizontal="center"/>
    </xf>
    <xf numFmtId="2" fontId="0" fillId="3" borderId="21" xfId="0" applyNumberFormat="1" applyFill="1" applyBorder="1" applyAlignment="1">
      <alignment horizontal="center"/>
    </xf>
    <xf numFmtId="2" fontId="0" fillId="3" borderId="22" xfId="0" applyNumberFormat="1" applyFill="1" applyBorder="1" applyAlignment="1">
      <alignment horizontal="center"/>
    </xf>
    <xf numFmtId="2" fontId="0" fillId="3" borderId="23" xfId="0" applyNumberForma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295275</xdr:colOff>
          <xdr:row>6</xdr:row>
          <xdr:rowOff>190500</xdr:rowOff>
        </xdr:from>
        <xdr:to>
          <xdr:col>17</xdr:col>
          <xdr:colOff>600075</xdr:colOff>
          <xdr:row>8</xdr:row>
          <xdr:rowOff>95250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6</xdr:row>
          <xdr:rowOff>180975</xdr:rowOff>
        </xdr:from>
        <xdr:to>
          <xdr:col>19</xdr:col>
          <xdr:colOff>400050</xdr:colOff>
          <xdr:row>8</xdr:row>
          <xdr:rowOff>85725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781050</xdr:colOff>
          <xdr:row>12</xdr:row>
          <xdr:rowOff>76200</xdr:rowOff>
        </xdr:from>
        <xdr:to>
          <xdr:col>10</xdr:col>
          <xdr:colOff>561975</xdr:colOff>
          <xdr:row>13</xdr:row>
          <xdr:rowOff>180975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800100</xdr:colOff>
          <xdr:row>12</xdr:row>
          <xdr:rowOff>66675</xdr:rowOff>
        </xdr:from>
        <xdr:to>
          <xdr:col>12</xdr:col>
          <xdr:colOff>581025</xdr:colOff>
          <xdr:row>13</xdr:row>
          <xdr:rowOff>171450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723900</xdr:colOff>
          <xdr:row>12</xdr:row>
          <xdr:rowOff>66675</xdr:rowOff>
        </xdr:from>
        <xdr:to>
          <xdr:col>11</xdr:col>
          <xdr:colOff>504825</xdr:colOff>
          <xdr:row>13</xdr:row>
          <xdr:rowOff>171450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control" Target="../activeX/activeX3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C3:S28"/>
  <sheetViews>
    <sheetView zoomScale="85" zoomScaleNormal="85" workbookViewId="0">
      <selection activeCell="J4" sqref="J4:M14"/>
    </sheetView>
  </sheetViews>
  <sheetFormatPr defaultRowHeight="15" x14ac:dyDescent="0.25"/>
  <cols>
    <col min="3" max="3" width="9.140625" customWidth="1"/>
    <col min="10" max="14" width="10.140625" customWidth="1"/>
  </cols>
  <sheetData>
    <row r="3" spans="3:19" ht="15.75" thickBot="1" x14ac:dyDescent="0.3"/>
    <row r="4" spans="3:19" ht="15.75" thickBot="1" x14ac:dyDescent="0.3">
      <c r="C4" s="33" t="s">
        <v>0</v>
      </c>
      <c r="D4" s="34"/>
      <c r="E4" s="35"/>
      <c r="F4" s="38" t="s">
        <v>1</v>
      </c>
      <c r="G4" s="39"/>
      <c r="J4" s="61" t="s">
        <v>2</v>
      </c>
      <c r="K4" s="62"/>
      <c r="L4" s="79" t="e">
        <f>F5/F8</f>
        <v>#DIV/0!</v>
      </c>
      <c r="M4" s="80"/>
      <c r="S4" s="1"/>
    </row>
    <row r="5" spans="3:19" ht="15.75" thickBot="1" x14ac:dyDescent="0.3">
      <c r="C5" s="29" t="s">
        <v>6</v>
      </c>
      <c r="D5" s="30"/>
      <c r="E5" s="30"/>
      <c r="F5" s="40"/>
      <c r="G5" s="41"/>
      <c r="J5" s="63" t="s">
        <v>3</v>
      </c>
      <c r="K5" s="64"/>
      <c r="L5" s="81" t="e">
        <f>F13/F12</f>
        <v>#DIV/0!</v>
      </c>
      <c r="M5" s="82"/>
      <c r="S5" s="2"/>
    </row>
    <row r="6" spans="3:19" ht="15.75" thickBot="1" x14ac:dyDescent="0.3">
      <c r="C6" s="29" t="s">
        <v>7</v>
      </c>
      <c r="D6" s="30"/>
      <c r="E6" s="30"/>
      <c r="F6" s="40"/>
      <c r="G6" s="41"/>
      <c r="J6" s="63" t="s">
        <v>4</v>
      </c>
      <c r="K6" s="64"/>
      <c r="L6" s="81" t="e">
        <f>F15/F13</f>
        <v>#DIV/0!</v>
      </c>
      <c r="M6" s="82"/>
    </row>
    <row r="7" spans="3:19" ht="15.75" thickBot="1" x14ac:dyDescent="0.3">
      <c r="C7" s="29" t="s">
        <v>8</v>
      </c>
      <c r="D7" s="30"/>
      <c r="E7" s="30"/>
      <c r="F7" s="40">
        <f>F5+F6</f>
        <v>0</v>
      </c>
      <c r="G7" s="41"/>
      <c r="J7" s="63" t="s">
        <v>5</v>
      </c>
      <c r="K7" s="64"/>
      <c r="L7" s="81" t="e">
        <f>F15/F14</f>
        <v>#DIV/0!</v>
      </c>
      <c r="M7" s="82"/>
    </row>
    <row r="8" spans="3:19" ht="15.75" thickBot="1" x14ac:dyDescent="0.3">
      <c r="C8" s="36" t="s">
        <v>9</v>
      </c>
      <c r="D8" s="37"/>
      <c r="E8" s="37"/>
      <c r="F8" s="40"/>
      <c r="G8" s="41"/>
      <c r="J8" s="65" t="s">
        <v>31</v>
      </c>
      <c r="K8" s="66"/>
      <c r="L8" s="81" t="e">
        <f>F15/F16</f>
        <v>#DIV/0!</v>
      </c>
      <c r="M8" s="82"/>
    </row>
    <row r="9" spans="3:19" ht="15.75" thickBot="1" x14ac:dyDescent="0.3">
      <c r="C9" s="27" t="s">
        <v>26</v>
      </c>
      <c r="D9" s="28"/>
      <c r="E9" s="28"/>
      <c r="F9" s="40"/>
      <c r="G9" s="41"/>
      <c r="J9" s="67" t="s">
        <v>15</v>
      </c>
      <c r="K9" s="68"/>
      <c r="L9" s="83" t="e">
        <f>F17/L8</f>
        <v>#DIV/0!</v>
      </c>
      <c r="M9" s="84"/>
    </row>
    <row r="10" spans="3:19" ht="15.75" thickBot="1" x14ac:dyDescent="0.3">
      <c r="C10" s="27" t="s">
        <v>14</v>
      </c>
      <c r="D10" s="28"/>
      <c r="E10" s="28"/>
      <c r="F10" s="40">
        <f>F8+F9</f>
        <v>0</v>
      </c>
      <c r="G10" s="32"/>
      <c r="J10" s="75" t="s">
        <v>17</v>
      </c>
      <c r="K10" s="76"/>
      <c r="L10" s="77" t="e">
        <f>F14/F16</f>
        <v>#DIV/0!</v>
      </c>
      <c r="M10" s="78"/>
    </row>
    <row r="11" spans="3:19" ht="15.75" thickBot="1" x14ac:dyDescent="0.3">
      <c r="C11" s="29" t="s">
        <v>10</v>
      </c>
      <c r="D11" s="30"/>
      <c r="E11" s="30"/>
      <c r="F11" s="40"/>
      <c r="G11" s="41"/>
      <c r="J11" s="69" t="s">
        <v>18</v>
      </c>
      <c r="K11" s="70"/>
      <c r="L11" s="85" t="e">
        <f>F17/L10</f>
        <v>#DIV/0!</v>
      </c>
      <c r="M11" s="86"/>
    </row>
    <row r="12" spans="3:19" ht="15.75" thickBot="1" x14ac:dyDescent="0.3">
      <c r="C12" s="29" t="s">
        <v>11</v>
      </c>
      <c r="D12" s="30"/>
      <c r="E12" s="30"/>
      <c r="F12" s="40"/>
      <c r="G12" s="41"/>
      <c r="J12" s="65" t="s">
        <v>21</v>
      </c>
      <c r="K12" s="66"/>
      <c r="L12" s="81" t="e">
        <f>(F18/L9)*F17</f>
        <v>#DIV/0!</v>
      </c>
      <c r="M12" s="82"/>
    </row>
    <row r="13" spans="3:19" ht="15.75" thickBot="1" x14ac:dyDescent="0.3">
      <c r="C13" s="27" t="s">
        <v>13</v>
      </c>
      <c r="D13" s="28"/>
      <c r="E13" s="28"/>
      <c r="F13" s="40"/>
      <c r="G13" s="41"/>
      <c r="J13" s="69" t="s">
        <v>22</v>
      </c>
      <c r="K13" s="70"/>
      <c r="L13" s="81" t="e">
        <f>(F19/L11)*F17</f>
        <v>#DIV/0!</v>
      </c>
      <c r="M13" s="82"/>
    </row>
    <row r="14" spans="3:19" ht="15.75" thickBot="1" x14ac:dyDescent="0.3">
      <c r="C14" s="29" t="s">
        <v>25</v>
      </c>
      <c r="D14" s="30"/>
      <c r="E14" s="30"/>
      <c r="F14" s="31"/>
      <c r="G14" s="32"/>
      <c r="J14" s="73" t="s">
        <v>23</v>
      </c>
      <c r="K14" s="74"/>
      <c r="L14" s="71" t="e">
        <f>(L12+L13)/2</f>
        <v>#DIV/0!</v>
      </c>
      <c r="M14" s="72"/>
    </row>
    <row r="15" spans="3:19" ht="15.75" thickBot="1" x14ac:dyDescent="0.3">
      <c r="C15" s="29" t="s">
        <v>12</v>
      </c>
      <c r="D15" s="30"/>
      <c r="E15" s="30"/>
      <c r="F15" s="31"/>
      <c r="G15" s="32"/>
    </row>
    <row r="16" spans="3:19" ht="15.75" thickBot="1" x14ac:dyDescent="0.3">
      <c r="C16" s="29" t="s">
        <v>28</v>
      </c>
      <c r="D16" s="30"/>
      <c r="E16" s="30"/>
      <c r="F16" s="31"/>
      <c r="G16" s="32"/>
    </row>
    <row r="17" spans="3:17" ht="15.75" thickBot="1" x14ac:dyDescent="0.3">
      <c r="C17" s="29" t="s">
        <v>16</v>
      </c>
      <c r="D17" s="30"/>
      <c r="E17" s="30"/>
      <c r="F17" s="47"/>
      <c r="G17" s="32"/>
    </row>
    <row r="18" spans="3:17" ht="15.75" thickBot="1" x14ac:dyDescent="0.3">
      <c r="C18" s="44" t="s">
        <v>19</v>
      </c>
      <c r="D18" s="45"/>
      <c r="E18" s="46"/>
      <c r="F18" s="48">
        <v>7.8</v>
      </c>
      <c r="G18" s="49"/>
    </row>
    <row r="19" spans="3:17" ht="15.75" thickBot="1" x14ac:dyDescent="0.3">
      <c r="C19" s="44" t="s">
        <v>20</v>
      </c>
      <c r="D19" s="52"/>
      <c r="E19" s="53"/>
      <c r="F19" s="50">
        <v>1.74</v>
      </c>
      <c r="G19" s="51"/>
    </row>
    <row r="21" spans="3:17" ht="15.75" thickBot="1" x14ac:dyDescent="0.3"/>
    <row r="22" spans="3:17" x14ac:dyDescent="0.25">
      <c r="D22" s="56" t="s">
        <v>30</v>
      </c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8"/>
    </row>
    <row r="23" spans="3:17" x14ac:dyDescent="0.25">
      <c r="D23" s="57" t="s">
        <v>24</v>
      </c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9"/>
    </row>
    <row r="24" spans="3:17" x14ac:dyDescent="0.25">
      <c r="D24" s="57" t="s">
        <v>32</v>
      </c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9"/>
    </row>
    <row r="25" spans="3:17" x14ac:dyDescent="0.25">
      <c r="D25" s="57" t="s">
        <v>27</v>
      </c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9"/>
    </row>
    <row r="26" spans="3:17" x14ac:dyDescent="0.25">
      <c r="D26" s="57" t="s">
        <v>29</v>
      </c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9"/>
    </row>
    <row r="27" spans="3:17" x14ac:dyDescent="0.25">
      <c r="D27" s="57" t="s">
        <v>33</v>
      </c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9"/>
    </row>
    <row r="28" spans="3:17" ht="15.75" thickBot="1" x14ac:dyDescent="0.3">
      <c r="D28" s="42" t="s">
        <v>34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60"/>
    </row>
  </sheetData>
  <mergeCells count="103">
    <mergeCell ref="J4:K4"/>
    <mergeCell ref="J5:K5"/>
    <mergeCell ref="J6:K6"/>
    <mergeCell ref="J7:K7"/>
    <mergeCell ref="J8:K8"/>
    <mergeCell ref="J9:K9"/>
    <mergeCell ref="J11:K11"/>
    <mergeCell ref="L14:M14"/>
    <mergeCell ref="J14:K14"/>
    <mergeCell ref="J10:K10"/>
    <mergeCell ref="L10:M10"/>
    <mergeCell ref="L4:M4"/>
    <mergeCell ref="L5:M5"/>
    <mergeCell ref="L6:M6"/>
    <mergeCell ref="L7:M7"/>
    <mergeCell ref="L8:M8"/>
    <mergeCell ref="L9:M9"/>
    <mergeCell ref="L11:M11"/>
    <mergeCell ref="L12:M12"/>
    <mergeCell ref="L13:M13"/>
    <mergeCell ref="J12:K12"/>
    <mergeCell ref="J13:K13"/>
    <mergeCell ref="L26:M26"/>
    <mergeCell ref="L27:M27"/>
    <mergeCell ref="N27:O27"/>
    <mergeCell ref="N28:O28"/>
    <mergeCell ref="P22:Q22"/>
    <mergeCell ref="P23:Q23"/>
    <mergeCell ref="P24:Q24"/>
    <mergeCell ref="P25:Q25"/>
    <mergeCell ref="P26:Q26"/>
    <mergeCell ref="P27:Q27"/>
    <mergeCell ref="P28:Q28"/>
    <mergeCell ref="N22:O22"/>
    <mergeCell ref="N23:O23"/>
    <mergeCell ref="N24:O24"/>
    <mergeCell ref="N25:O25"/>
    <mergeCell ref="N26:O26"/>
    <mergeCell ref="D23:E23"/>
    <mergeCell ref="D24:E24"/>
    <mergeCell ref="D25:E25"/>
    <mergeCell ref="D26:E26"/>
    <mergeCell ref="D27:E27"/>
    <mergeCell ref="L28:M28"/>
    <mergeCell ref="J22:K22"/>
    <mergeCell ref="J23:K23"/>
    <mergeCell ref="J24:K24"/>
    <mergeCell ref="J25:K25"/>
    <mergeCell ref="J26:K26"/>
    <mergeCell ref="H22:I22"/>
    <mergeCell ref="H23:I23"/>
    <mergeCell ref="H24:I24"/>
    <mergeCell ref="H25:I25"/>
    <mergeCell ref="H26:I26"/>
    <mergeCell ref="H28:I28"/>
    <mergeCell ref="H27:I27"/>
    <mergeCell ref="J27:K27"/>
    <mergeCell ref="J28:K28"/>
    <mergeCell ref="L22:M22"/>
    <mergeCell ref="L23:M23"/>
    <mergeCell ref="L24:M24"/>
    <mergeCell ref="L25:M25"/>
    <mergeCell ref="D28:E28"/>
    <mergeCell ref="F13:G13"/>
    <mergeCell ref="F14:G14"/>
    <mergeCell ref="C17:E17"/>
    <mergeCell ref="C18:E18"/>
    <mergeCell ref="F17:G17"/>
    <mergeCell ref="F18:G18"/>
    <mergeCell ref="F28:G28"/>
    <mergeCell ref="C10:E10"/>
    <mergeCell ref="C11:E11"/>
    <mergeCell ref="C12:E12"/>
    <mergeCell ref="C13:E13"/>
    <mergeCell ref="C14:E14"/>
    <mergeCell ref="F11:G11"/>
    <mergeCell ref="F12:G12"/>
    <mergeCell ref="F19:G19"/>
    <mergeCell ref="C19:E19"/>
    <mergeCell ref="F22:G22"/>
    <mergeCell ref="F23:G23"/>
    <mergeCell ref="F24:G24"/>
    <mergeCell ref="F25:G25"/>
    <mergeCell ref="F27:G27"/>
    <mergeCell ref="F26:G26"/>
    <mergeCell ref="D22:E22"/>
    <mergeCell ref="C9:E9"/>
    <mergeCell ref="C15:E15"/>
    <mergeCell ref="F15:G15"/>
    <mergeCell ref="C16:E16"/>
    <mergeCell ref="F16:G16"/>
    <mergeCell ref="C4:E4"/>
    <mergeCell ref="C5:E5"/>
    <mergeCell ref="C6:E6"/>
    <mergeCell ref="C7:E7"/>
    <mergeCell ref="C8:E8"/>
    <mergeCell ref="F4:G4"/>
    <mergeCell ref="F5:G5"/>
    <mergeCell ref="F6:G6"/>
    <mergeCell ref="F7:G7"/>
    <mergeCell ref="F8:G8"/>
    <mergeCell ref="F9:G9"/>
    <mergeCell ref="F10:G10"/>
  </mergeCells>
  <phoneticPr fontId="1" type="noConversion"/>
  <conditionalFormatting sqref="L14 J14 J15:R16 R6:R12 O13:R14">
    <cfRule type="uniqueValues" dxfId="1" priority="1"/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18</xdr:col>
                <xdr:colOff>95250</xdr:colOff>
                <xdr:row>6</xdr:row>
                <xdr:rowOff>180975</xdr:rowOff>
              </from>
              <to>
                <xdr:col>19</xdr:col>
                <xdr:colOff>400050</xdr:colOff>
                <xdr:row>8</xdr:row>
                <xdr:rowOff>85725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16</xdr:col>
                <xdr:colOff>295275</xdr:colOff>
                <xdr:row>6</xdr:row>
                <xdr:rowOff>190500</xdr:rowOff>
              </from>
              <to>
                <xdr:col>17</xdr:col>
                <xdr:colOff>600075</xdr:colOff>
                <xdr:row>8</xdr:row>
                <xdr:rowOff>95250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60E-01AA-42F3-BA3E-0ACE045DC291}">
  <sheetPr codeName="Sayfa2"/>
  <dimension ref="F1:G31"/>
  <sheetViews>
    <sheetView tabSelected="1" workbookViewId="0">
      <selection activeCell="L18" sqref="L18"/>
    </sheetView>
  </sheetViews>
  <sheetFormatPr defaultColWidth="17" defaultRowHeight="15" x14ac:dyDescent="0.25"/>
  <cols>
    <col min="1" max="1" width="42" customWidth="1"/>
    <col min="6" max="6" width="22.28515625" customWidth="1"/>
    <col min="7" max="7" width="17.5703125" bestFit="1" customWidth="1"/>
  </cols>
  <sheetData>
    <row r="1" spans="6:7" ht="15.75" thickBot="1" x14ac:dyDescent="0.3"/>
    <row r="2" spans="6:7" ht="15.75" thickBot="1" x14ac:dyDescent="0.3">
      <c r="F2" s="13" t="s">
        <v>0</v>
      </c>
      <c r="G2" s="14" t="s">
        <v>1</v>
      </c>
    </row>
    <row r="3" spans="6:7" ht="15.75" thickBot="1" x14ac:dyDescent="0.3">
      <c r="F3" s="9" t="s">
        <v>35</v>
      </c>
      <c r="G3" s="15"/>
    </row>
    <row r="4" spans="6:7" ht="15.75" thickBot="1" x14ac:dyDescent="0.3">
      <c r="F4" s="9" t="s">
        <v>37</v>
      </c>
      <c r="G4" s="15"/>
    </row>
    <row r="5" spans="6:7" ht="15.75" thickBot="1" x14ac:dyDescent="0.3">
      <c r="F5" s="9" t="s">
        <v>8</v>
      </c>
      <c r="G5" s="15"/>
    </row>
    <row r="6" spans="6:7" ht="15.75" thickBot="1" x14ac:dyDescent="0.3">
      <c r="F6" s="9" t="s">
        <v>36</v>
      </c>
      <c r="G6" s="15"/>
    </row>
    <row r="7" spans="6:7" ht="15.75" thickBot="1" x14ac:dyDescent="0.3">
      <c r="F7" s="9" t="s">
        <v>44</v>
      </c>
      <c r="G7" s="15"/>
    </row>
    <row r="8" spans="6:7" ht="15.75" thickBot="1" x14ac:dyDescent="0.3">
      <c r="F8" s="11" t="s">
        <v>42</v>
      </c>
      <c r="G8" s="15"/>
    </row>
    <row r="9" spans="6:7" ht="15.75" thickBot="1" x14ac:dyDescent="0.3">
      <c r="F9" s="9" t="s">
        <v>40</v>
      </c>
      <c r="G9" s="16"/>
    </row>
    <row r="10" spans="6:7" ht="15.75" thickBot="1" x14ac:dyDescent="0.3">
      <c r="F10" s="9" t="s">
        <v>43</v>
      </c>
      <c r="G10" s="16"/>
    </row>
    <row r="11" spans="6:7" ht="15.75" thickBot="1" x14ac:dyDescent="0.3">
      <c r="F11" s="9" t="s">
        <v>41</v>
      </c>
      <c r="G11" s="16"/>
    </row>
    <row r="12" spans="6:7" ht="15.75" thickBot="1" x14ac:dyDescent="0.3">
      <c r="F12" s="12" t="s">
        <v>38</v>
      </c>
      <c r="G12" s="15"/>
    </row>
    <row r="13" spans="6:7" ht="15.75" thickBot="1" x14ac:dyDescent="0.3">
      <c r="F13" s="11" t="s">
        <v>39</v>
      </c>
      <c r="G13" s="15"/>
    </row>
    <row r="14" spans="6:7" ht="15.75" thickBot="1" x14ac:dyDescent="0.3">
      <c r="F14" s="11" t="s">
        <v>45</v>
      </c>
      <c r="G14" s="15">
        <f>G13+G12</f>
        <v>0</v>
      </c>
    </row>
    <row r="15" spans="6:7" ht="15.75" thickBot="1" x14ac:dyDescent="0.3">
      <c r="F15" s="9" t="s">
        <v>16</v>
      </c>
      <c r="G15" s="17"/>
    </row>
    <row r="16" spans="6:7" ht="15.75" thickBot="1" x14ac:dyDescent="0.3">
      <c r="F16" s="10" t="s">
        <v>19</v>
      </c>
      <c r="G16" s="18">
        <v>7.9</v>
      </c>
    </row>
    <row r="17" spans="6:7" ht="15.75" thickBot="1" x14ac:dyDescent="0.3">
      <c r="F17" s="10" t="s">
        <v>20</v>
      </c>
      <c r="G17" s="19">
        <v>1.66</v>
      </c>
    </row>
    <row r="20" spans="6:7" ht="15.75" thickBot="1" x14ac:dyDescent="0.3"/>
    <row r="21" spans="6:7" x14ac:dyDescent="0.25">
      <c r="F21" s="3" t="s">
        <v>2</v>
      </c>
      <c r="G21" s="25" t="e">
        <f>G3/G12</f>
        <v>#DIV/0!</v>
      </c>
    </row>
    <row r="22" spans="6:7" x14ac:dyDescent="0.25">
      <c r="F22" s="4" t="s">
        <v>3</v>
      </c>
      <c r="G22" s="20" t="e">
        <f>G8/G7</f>
        <v>#DIV/0!</v>
      </c>
    </row>
    <row r="23" spans="6:7" x14ac:dyDescent="0.25">
      <c r="F23" s="4" t="s">
        <v>4</v>
      </c>
      <c r="G23" s="20" t="e">
        <f>G10/G8</f>
        <v>#DIV/0!</v>
      </c>
    </row>
    <row r="24" spans="6:7" x14ac:dyDescent="0.25">
      <c r="F24" s="4" t="s">
        <v>5</v>
      </c>
      <c r="G24" s="20" t="e">
        <f>G10/G9</f>
        <v>#DIV/0!</v>
      </c>
    </row>
    <row r="25" spans="6:7" x14ac:dyDescent="0.25">
      <c r="F25" s="5" t="s">
        <v>31</v>
      </c>
      <c r="G25" s="20" t="e">
        <f>G10/G11</f>
        <v>#DIV/0!</v>
      </c>
    </row>
    <row r="26" spans="6:7" ht="15.75" thickBot="1" x14ac:dyDescent="0.3">
      <c r="F26" s="6" t="s">
        <v>15</v>
      </c>
      <c r="G26" s="22" t="e">
        <f>G15/G25</f>
        <v>#DIV/0!</v>
      </c>
    </row>
    <row r="27" spans="6:7" ht="15.75" thickBot="1" x14ac:dyDescent="0.3">
      <c r="F27" s="8" t="s">
        <v>17</v>
      </c>
      <c r="G27" s="23" t="e">
        <f>G9/G11</f>
        <v>#DIV/0!</v>
      </c>
    </row>
    <row r="28" spans="6:7" x14ac:dyDescent="0.25">
      <c r="F28" s="7" t="s">
        <v>18</v>
      </c>
      <c r="G28" s="24" t="e">
        <f>G15/G27</f>
        <v>#DIV/0!</v>
      </c>
    </row>
    <row r="29" spans="6:7" x14ac:dyDescent="0.25">
      <c r="F29" s="5" t="s">
        <v>21</v>
      </c>
      <c r="G29" s="20" t="e">
        <f>(G16/G26)*G15</f>
        <v>#DIV/0!</v>
      </c>
    </row>
    <row r="30" spans="6:7" x14ac:dyDescent="0.25">
      <c r="F30" s="7" t="s">
        <v>22</v>
      </c>
      <c r="G30" s="20" t="e">
        <f>(G17/G28)*G15</f>
        <v>#DIV/0!</v>
      </c>
    </row>
    <row r="31" spans="6:7" ht="15.75" thickBot="1" x14ac:dyDescent="0.3">
      <c r="F31" s="26" t="s">
        <v>23</v>
      </c>
      <c r="G31" s="21" t="e">
        <f>(G29+G30)/2</f>
        <v>#DIV/0!</v>
      </c>
    </row>
  </sheetData>
  <conditionalFormatting sqref="F31:G31">
    <cfRule type="uniqueValues" dxfId="0" priority="1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3">
          <controlPr defaultSize="0" autoLine="0" r:id="rId4">
            <anchor moveWithCells="1">
              <from>
                <xdr:col>10</xdr:col>
                <xdr:colOff>723900</xdr:colOff>
                <xdr:row>12</xdr:row>
                <xdr:rowOff>66675</xdr:rowOff>
              </from>
              <to>
                <xdr:col>11</xdr:col>
                <xdr:colOff>504825</xdr:colOff>
                <xdr:row>13</xdr:row>
                <xdr:rowOff>171450</xdr:rowOff>
              </to>
            </anchor>
          </controlPr>
        </control>
      </mc:Choice>
      <mc:Fallback>
        <control shapeId="2051" r:id="rId3" name="CommandButton3"/>
      </mc:Fallback>
    </mc:AlternateContent>
    <mc:AlternateContent xmlns:mc="http://schemas.openxmlformats.org/markup-compatibility/2006">
      <mc:Choice Requires="x14">
        <control shapeId="2049" r:id="rId5" name="CommandButton1">
          <controlPr defaultSize="0" autoLine="0" r:id="rId6">
            <anchor moveWithCells="1">
              <from>
                <xdr:col>9</xdr:col>
                <xdr:colOff>781050</xdr:colOff>
                <xdr:row>12</xdr:row>
                <xdr:rowOff>76200</xdr:rowOff>
              </from>
              <to>
                <xdr:col>10</xdr:col>
                <xdr:colOff>561975</xdr:colOff>
                <xdr:row>13</xdr:row>
                <xdr:rowOff>180975</xdr:rowOff>
              </to>
            </anchor>
          </controlPr>
        </control>
      </mc:Choice>
      <mc:Fallback>
        <control shapeId="2049" r:id="rId5" name="CommandButton1"/>
      </mc:Fallback>
    </mc:AlternateContent>
    <mc:AlternateContent xmlns:mc="http://schemas.openxmlformats.org/markup-compatibility/2006">
      <mc:Choice Requires="x14">
        <control shapeId="2050" r:id="rId7" name="CommandButton2">
          <controlPr defaultSize="0" autoLine="0" r:id="rId8">
            <anchor moveWithCells="1">
              <from>
                <xdr:col>11</xdr:col>
                <xdr:colOff>800100</xdr:colOff>
                <xdr:row>12</xdr:row>
                <xdr:rowOff>66675</xdr:rowOff>
              </from>
              <to>
                <xdr:col>12</xdr:col>
                <xdr:colOff>581025</xdr:colOff>
                <xdr:row>13</xdr:row>
                <xdr:rowOff>171450</xdr:rowOff>
              </to>
            </anchor>
          </controlPr>
        </control>
      </mc:Choice>
      <mc:Fallback>
        <control shapeId="2050" r:id="rId7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2733A48-E5AB-43F0-BE41-15DEA8A33A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Sayfa1</vt:lpstr>
      <vt:lpstr>Sayfa2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Oğuzhan Bahçeci</dc:creator>
  <cp:lastModifiedBy>Oğuzhan Bahçeci</cp:lastModifiedBy>
  <dcterms:created xsi:type="dcterms:W3CDTF">2015-06-05T18:17:20Z</dcterms:created>
  <dcterms:modified xsi:type="dcterms:W3CDTF">2024-07-22T11:00:44Z</dcterms:modified>
</cp:coreProperties>
</file>