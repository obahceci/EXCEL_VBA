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https://d.docs.live.net/0d78e4b0767f3bf4/Masaüstü/"/>
    </mc:Choice>
  </mc:AlternateContent>
  <xr:revisionPtr revIDLastSave="490" documentId="8_{A390E1CA-0F78-4351-9BD7-79842DCB2768}" xr6:coauthVersionLast="47" xr6:coauthVersionMax="47" xr10:uidLastSave="{85AC6FCD-CB4C-47A2-BE6E-565D9F48A0E9}"/>
  <bookViews>
    <workbookView minimized="1" xWindow="0" yWindow="555" windowWidth="28785" windowHeight="15045" xr2:uid="{00000000-000D-0000-FFFF-FFFF00000000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1" l="1"/>
  <c r="G28" i="1" s="1"/>
  <c r="G30" i="1" s="1"/>
  <c r="G25" i="1"/>
  <c r="G26" i="1" s="1"/>
  <c r="G29" i="1" s="1"/>
  <c r="G24" i="1"/>
  <c r="G23" i="1"/>
  <c r="G22" i="1"/>
  <c r="G21" i="1"/>
  <c r="G14" i="1"/>
  <c r="G31" i="1" l="1"/>
</calcChain>
</file>

<file path=xl/sharedStrings.xml><?xml version="1.0" encoding="utf-8"?>
<sst xmlns="http://schemas.openxmlformats.org/spreadsheetml/2006/main" count="1408" uniqueCount="158">
  <si>
    <t/>
  </si>
  <si>
    <t>Bilanço</t>
  </si>
  <si>
    <t>Dönen Varlıklar</t>
  </si>
  <si>
    <t>Nakit ve Nakit Benzerleri</t>
  </si>
  <si>
    <t>Finansal Yatırımlar</t>
  </si>
  <si>
    <t>Ticari Alacaklar</t>
  </si>
  <si>
    <t>Finans Sektörü Faaliyetlerinden Alacaklar</t>
  </si>
  <si>
    <t>Diğer Alacaklar</t>
  </si>
  <si>
    <t>Müşteri Sözleşmelerinden Doğan Varlıklar</t>
  </si>
  <si>
    <t>Stoklar</t>
  </si>
  <si>
    <t>Canlı Varlıklar</t>
  </si>
  <si>
    <t>Diğer Dönen Varlıklar</t>
  </si>
  <si>
    <t>(Ara Toplam)</t>
  </si>
  <si>
    <t>Satış Amacıyla Elde Tutulan Duran Varlıklar</t>
  </si>
  <si>
    <t>Duran Varlıklar</t>
  </si>
  <si>
    <t>Özkaynak Yöntemiyle Değerlenen Yatırımlar</t>
  </si>
  <si>
    <t>Yatırım Amaçlı Gayrimenkuller</t>
  </si>
  <si>
    <t>Kullanım Hakkı Varlıkları</t>
  </si>
  <si>
    <t>Maddi Duran Varlıklar</t>
  </si>
  <si>
    <t>Şerefiye</t>
  </si>
  <si>
    <t>Maddi Olmayan Duran Varlıklar</t>
  </si>
  <si>
    <t>Ertelenmiş Vergi Varlığı</t>
  </si>
  <si>
    <t>Diğer Duran Varlıklar</t>
  </si>
  <si>
    <t>TOPLAM VARLIKLAR</t>
  </si>
  <si>
    <t>KAYNAKLAR</t>
  </si>
  <si>
    <t>Kısa Vadeli Yükümlülükler</t>
  </si>
  <si>
    <t>Finansal Borçlar</t>
  </si>
  <si>
    <t>Diğer Finansal Yükümlülükler</t>
  </si>
  <si>
    <t>Ticari Borçlar</t>
  </si>
  <si>
    <t>Diğer Borçlar</t>
  </si>
  <si>
    <t>Müşteri Söz. Doğan Yük.</t>
  </si>
  <si>
    <t>Finans Sektörü Faaliyetlerinden Borçlar</t>
  </si>
  <si>
    <t>Devlet Teşvik ve Yardımları</t>
  </si>
  <si>
    <t>Ertelenmiş Gelirler (Müşteri Söz. Doğan Yük. Dış.Kal.)</t>
  </si>
  <si>
    <t>Dönem Karı Vergi Yükümlülüğü</t>
  </si>
  <si>
    <t>Borç Karşılıkları</t>
  </si>
  <si>
    <t>Diğer Kısa Vadeli Yükümlülükler</t>
  </si>
  <si>
    <t>Satış Amaçlı Elde Tutulan Duran Varlıklara İlişkin Yükümlülükler</t>
  </si>
  <si>
    <t>Uzun Vadeli Yükümlülükler</t>
  </si>
  <si>
    <t>Müşteri Söz.Doğan Yük.</t>
  </si>
  <si>
    <t>Ertelenmiş Gelirler (Müşteri Söz.Doğan Yük. Dış.Kal.)</t>
  </si>
  <si>
    <t>Uzun vadeli karşılıklar</t>
  </si>
  <si>
    <t>Çalışanlara Sağlanan Faydalara İliş.Karş.</t>
  </si>
  <si>
    <t>Ertelenmiş Vergi Yükümlülüğü</t>
  </si>
  <si>
    <t>Diğer Uzun Vadeli Yükümlülükler</t>
  </si>
  <si>
    <t>Özkaynaklar</t>
  </si>
  <si>
    <t>Ana Ortaklığa Ait Özkaynaklar</t>
  </si>
  <si>
    <t>Ödenmiş Sermaye</t>
  </si>
  <si>
    <t>Karşılıklı İştirak Sermayesi Düzeltmesi (-)</t>
  </si>
  <si>
    <t>Hisse Senedi İhraç Primleri</t>
  </si>
  <si>
    <t>Değer Artış Fonları</t>
  </si>
  <si>
    <t>Yabancı Para Çevrim Farkları</t>
  </si>
  <si>
    <t>Kardan Ayrılan Kısıtlanmış Yedekler</t>
  </si>
  <si>
    <t>Geçmiş Yıllar Kar/Zararları</t>
  </si>
  <si>
    <t>Dönem Net Kar/Zararı</t>
  </si>
  <si>
    <t>Diğer Özsermaye Kalemleri</t>
  </si>
  <si>
    <t>Azınlık Payları</t>
  </si>
  <si>
    <t>TOPLAM KAYNAKLAR</t>
  </si>
  <si>
    <t>Gelir Tablosu</t>
  </si>
  <si>
    <t>Sürdürülen Faaliyetler</t>
  </si>
  <si>
    <t>Satış Gelirleri</t>
  </si>
  <si>
    <t>Satışların Maliyeti (-)</t>
  </si>
  <si>
    <t>Ticari Faaliyetlerden Diğer Kar (Zarar)</t>
  </si>
  <si>
    <t>Ticari Faaliyetlerden Brüt Kar (Zarar)</t>
  </si>
  <si>
    <t>Faiz, Ücret, Prim, Komisyon ve Diğer Gelirler</t>
  </si>
  <si>
    <t>Faiz, Ücret, Prim, Komisyon ve Diğer Giderler (-)</t>
  </si>
  <si>
    <t>Finans Sektörü Faaliyetlerinden Diğer Kar (Zarar)</t>
  </si>
  <si>
    <t>Finans Sektörü Faaliyetlerinden Brüt Kar (Zarar)</t>
  </si>
  <si>
    <t>Diğer Gelir ve Giderler</t>
  </si>
  <si>
    <t>BRÜT KAR (ZARAR)</t>
  </si>
  <si>
    <t>Pazarlama, Satış ve Dağıtım Giderleri (-)</t>
  </si>
  <si>
    <t>Genel Yönetim Giderleri (-)</t>
  </si>
  <si>
    <t>Araştırma ve Geliştirme Giderleri (-)</t>
  </si>
  <si>
    <t>Diğer Faaliyet Gelirleri</t>
  </si>
  <si>
    <t>Diğer Faaliyet Giderleri (-)</t>
  </si>
  <si>
    <t>Faaliyet Karı Öncesi Diğer Gelir ve Giderler</t>
  </si>
  <si>
    <t>FAALİYET KARI (ZARARI)</t>
  </si>
  <si>
    <t>Net Faaliyet Kar/Zararı</t>
  </si>
  <si>
    <t>Yatırım Faaliyetlerinden Gelirler</t>
  </si>
  <si>
    <t>Yatırım Faaliyetlerinden Giderler (-)</t>
  </si>
  <si>
    <t>Özkaynak Yöntemiyle Değerlenen Yatırımların Kar/Zararlarındaki Paylar</t>
  </si>
  <si>
    <t>Finansman Gideri Öncesi Faaliyet Karı/Zararı</t>
  </si>
  <si>
    <t>(Esas Faaliyet Dışı) Finansal Gelirler</t>
  </si>
  <si>
    <t>(Esas Faaliyet Dışı) Finansal Giderler (-)</t>
  </si>
  <si>
    <t>Vergi Öncesi Diğer Gelir ve Giderler</t>
  </si>
  <si>
    <t>SÜRDÜRÜLEN FAALİYETLER VERGİ ÖNCESİ KARI (ZARARI)</t>
  </si>
  <si>
    <t>Sürdürülen Faaliyetler Vergi Geliri (Gideri)</t>
  </si>
  <si>
    <t>Dönem Vergi Geliri (Gideri)</t>
  </si>
  <si>
    <t>Ertelenmiş Vergi Geliri (Gideri)</t>
  </si>
  <si>
    <t>Diğer Vergi Geliri (Gideri)</t>
  </si>
  <si>
    <t>SÜRDÜRÜLEN FAALİYETLER DÖNEM KARI/ZARARI</t>
  </si>
  <si>
    <t>DURDURULAN FAALİYETLER</t>
  </si>
  <si>
    <t>Durdurulan Faaliyetler Vergi Sonrası Dönem Karı (Zararı)</t>
  </si>
  <si>
    <t>DÖNEM KARI (ZARARI)</t>
  </si>
  <si>
    <t>Dönem Kar/Zararının Dağılımı</t>
  </si>
  <si>
    <t>Ana Ortaklık Payları</t>
  </si>
  <si>
    <t>Hisse Başına Kazanç</t>
  </si>
  <si>
    <t>Seyreltilmiş Hisse Başına Kazanç</t>
  </si>
  <si>
    <t>Sürdürülen Faaliyetlerden Hisse Başına Kazanç</t>
  </si>
  <si>
    <t>Sürdürülen Faaliyetlerden Seyreltilmiş Hisse Başına Kazanç</t>
  </si>
  <si>
    <t>Dipnot</t>
  </si>
  <si>
    <t>Amortisman Giderleri</t>
  </si>
  <si>
    <t>Kıdem Tazminatı</t>
  </si>
  <si>
    <t>Finansman Giderleri</t>
  </si>
  <si>
    <t>Yurtiçi Satışlar</t>
  </si>
  <si>
    <t>Yurtdışı Satışlar</t>
  </si>
  <si>
    <t>Net Yabancı Para Pozisyonu</t>
  </si>
  <si>
    <t>Parasal net yabancı para varlık/(yükümlülük) pozisyonu</t>
  </si>
  <si>
    <t>Net YPP (Hedge Dahil)</t>
  </si>
  <si>
    <t>Nakit Akım Tablosu</t>
  </si>
  <si>
    <t>İşletme Faaliyetlerinden Kaynaklanan Net Nakit</t>
  </si>
  <si>
    <t>Düzeltme Öncesi Kar</t>
  </si>
  <si>
    <t>Düzeltmeler:</t>
  </si>
  <si>
    <t>Amortisman &amp; İtfa Payları</t>
  </si>
  <si>
    <t>Karşılıklardaki Değişim</t>
  </si>
  <si>
    <t>Diğer Gelir/ Gider</t>
  </si>
  <si>
    <t>İşletme Sermayesinde Değişikler Öncesi Faaliyet Karı (+)</t>
  </si>
  <si>
    <t>İşletme Sermayesindeki Değişiklikler</t>
  </si>
  <si>
    <t>Esas Faaliyet ile İlgili Oluşan Nakit (+)</t>
  </si>
  <si>
    <t>Diğer İşletme Faaliyetlerinden Nakit</t>
  </si>
  <si>
    <t>Sabit Sermaye Yatırımları</t>
  </si>
  <si>
    <t>Diğer Yatırım Faaliyetlerinden Nakit</t>
  </si>
  <si>
    <t>Yatırım Faaliyetlerinden Kaynaklanan Nakit</t>
  </si>
  <si>
    <t>Serbest Nakit Akım</t>
  </si>
  <si>
    <t>Finansal Borçlardaki Değişim</t>
  </si>
  <si>
    <t>Temettü Ödemeleri</t>
  </si>
  <si>
    <t>Sermaye Artırımı</t>
  </si>
  <si>
    <t>Diğer Finansman Faaliyetlerinden Nakit</t>
  </si>
  <si>
    <t>Finansman Faaliyetlerden Kaynaklanan Nakit</t>
  </si>
  <si>
    <t>Yab. Para Çev. Fark. Etk. Önc.Nak.Ve Nak. Benz. Net Artış/Azalış</t>
  </si>
  <si>
    <t>Yab.ı Para Çevrim Fark. Nakit Ve Nakit Benz. Üzerindeki Etkisi</t>
  </si>
  <si>
    <t>Diğer Nakit Girişi/Çıkışı</t>
  </si>
  <si>
    <t>Nakit ve Benzerlerindeki Değişim</t>
  </si>
  <si>
    <t>Diğer Nakit ve Nakit Benzerlerindeki Artış</t>
  </si>
  <si>
    <t>Dönem Başı Nakit Değerler</t>
  </si>
  <si>
    <t>Dönem Sonu Nakit</t>
  </si>
  <si>
    <t>BİLANÇO TERİMLERİ</t>
  </si>
  <si>
    <t>SAYISAL DEĞERİ</t>
  </si>
  <si>
    <t>Ticari Alcaklar</t>
  </si>
  <si>
    <t>Toplam Yükümlülükler</t>
  </si>
  <si>
    <t>BORSA FİYATI</t>
  </si>
  <si>
    <t>BİST100 F/K</t>
  </si>
  <si>
    <t>BİST100 PD/DD</t>
  </si>
  <si>
    <t>CARİ ORAN</t>
  </si>
  <si>
    <t>ALACAK DEVİR HIZI</t>
  </si>
  <si>
    <t>NET KAR MARJI</t>
  </si>
  <si>
    <t>ÖZSERMAYE KARLILIĞI</t>
  </si>
  <si>
    <t>HİSSE BAŞI NET KAR</t>
  </si>
  <si>
    <t>F/K</t>
  </si>
  <si>
    <t>DEFTER DEĞERİ</t>
  </si>
  <si>
    <t>PD/DD</t>
  </si>
  <si>
    <t>OGF/K</t>
  </si>
  <si>
    <t>OGPD/DD</t>
  </si>
  <si>
    <t>İÇSEL DEĞER</t>
  </si>
  <si>
    <t>2023/12</t>
  </si>
  <si>
    <t>iyi</t>
  </si>
  <si>
    <t>Kötü</t>
  </si>
  <si>
    <t>kötü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</si>
</sst>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sz val="1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3" fontId="1" fillId="3" borderId="3" xfId="0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2" fontId="0" fillId="3" borderId="6" xfId="0" applyNumberFormat="1" applyFill="1" applyBorder="1"/>
    <xf numFmtId="0" fontId="0" fillId="4" borderId="7" xfId="0" applyFill="1" applyBorder="1" applyAlignment="1">
      <alignment horizontal="center"/>
    </xf>
    <xf numFmtId="2" fontId="0" fillId="3" borderId="8" xfId="0" applyNumberFormat="1" applyFill="1" applyBorder="1"/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2" fontId="0" fillId="3" borderId="11" xfId="0" applyNumberFormat="1" applyFill="1" applyBorder="1"/>
    <xf numFmtId="0" fontId="0" fillId="4" borderId="12" xfId="0" applyFill="1" applyBorder="1" applyAlignment="1">
      <alignment horizontal="center"/>
    </xf>
    <xf numFmtId="2" fontId="0" fillId="3" borderId="13" xfId="0" applyNumberFormat="1" applyFill="1" applyBorder="1"/>
    <xf numFmtId="0" fontId="0" fillId="4" borderId="14" xfId="0" applyFill="1" applyBorder="1" applyAlignment="1">
      <alignment horizontal="center"/>
    </xf>
    <xf numFmtId="2" fontId="0" fillId="3" borderId="15" xfId="0" applyNumberFormat="1" applyFill="1" applyBorder="1"/>
    <xf numFmtId="0" fontId="1" fillId="4" borderId="16" xfId="0" applyFont="1" applyFill="1" applyBorder="1" applyAlignment="1">
      <alignment horizontal="center"/>
    </xf>
    <xf numFmtId="2" fontId="0" fillId="3" borderId="17" xfId="0" applyNumberFormat="1" applyFill="1" applyBorder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11</xdr:row>
          <xdr:rowOff>95250</xdr:rowOff>
        </xdr:from>
        <xdr:to>
          <xdr:col>10</xdr:col>
          <xdr:colOff>733425</xdr:colOff>
          <xdr:row>13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914400</xdr:colOff>
          <xdr:row>11</xdr:row>
          <xdr:rowOff>104775</xdr:rowOff>
        </xdr:from>
        <xdr:to>
          <xdr:col>11</xdr:col>
          <xdr:colOff>800100</xdr:colOff>
          <xdr:row>13</xdr:row>
          <xdr:rowOff>9525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11</xdr:row>
          <xdr:rowOff>95250</xdr:rowOff>
        </xdr:from>
        <xdr:to>
          <xdr:col>12</xdr:col>
          <xdr:colOff>942975</xdr:colOff>
          <xdr:row>13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H9152"/>
  <sheetViews>
    <sheetView tabSelected="1" workbookViewId="0">
      <selection activeCell="M16" sqref="M16"/>
    </sheetView>
  </sheetViews>
  <sheetFormatPr defaultColWidth="15.42578125" defaultRowHeight="15" x14ac:dyDescent="0.25"/>
  <cols>
    <col min="1" max="1" width="30.140625" customWidth="1"/>
    <col min="6" max="6" width="25.5703125" customWidth="1"/>
    <col min="7" max="7" width="21.5703125" customWidth="1"/>
  </cols>
  <sheetData>
    <row r="1" spans="6:7" ht="15.75" thickBot="1" x14ac:dyDescent="0.3"/>
    <row r="2" spans="6:7" ht="15.75" thickBot="1" x14ac:dyDescent="0.3">
      <c r="F2" s="1" t="s">
        <v>136</v>
      </c>
      <c r="G2" s="2" t="s">
        <v>137</v>
      </c>
    </row>
    <row r="3" spans="6:7" ht="15.75" thickBot="1" x14ac:dyDescent="0.3">
      <c r="F3" s="3" t="s">
        <v>2</v>
      </c>
      <c r="G3" s="4"/>
    </row>
    <row r="4" spans="6:7" ht="15.75" thickBot="1" x14ac:dyDescent="0.3">
      <c r="F4" s="3" t="s">
        <v>14</v>
      </c>
      <c r="G4" s="4"/>
    </row>
    <row r="5" spans="6:7" ht="15.75" thickBot="1" x14ac:dyDescent="0.3">
      <c r="F5" s="3" t="s">
        <v>23</v>
      </c>
      <c r="G5" s="4"/>
    </row>
    <row r="6" spans="6:7" ht="15.75" thickBot="1" x14ac:dyDescent="0.3">
      <c r="F6" s="3" t="s">
        <v>9</v>
      </c>
      <c r="G6" s="4"/>
    </row>
    <row r="7" spans="6:7" ht="15.75" thickBot="1" x14ac:dyDescent="0.3">
      <c r="F7" s="3" t="s">
        <v>138</v>
      </c>
      <c r="G7" s="4"/>
    </row>
    <row r="8" spans="6:7" ht="15.75" thickBot="1" x14ac:dyDescent="0.3">
      <c r="F8" s="5" t="s">
        <v>60</v>
      </c>
      <c r="G8" s="4"/>
    </row>
    <row r="9" spans="6:7" ht="15.75" thickBot="1" x14ac:dyDescent="0.3">
      <c r="F9" s="3" t="s">
        <v>45</v>
      </c>
      <c r="G9" s="6"/>
    </row>
    <row r="10" spans="6:7" ht="15.75" thickBot="1" x14ac:dyDescent="0.3">
      <c r="F10" s="3" t="s">
        <v>93</v>
      </c>
      <c r="G10" s="6"/>
    </row>
    <row r="11" spans="6:7" ht="15.75" thickBot="1" x14ac:dyDescent="0.3">
      <c r="F11" s="3" t="s">
        <v>47</v>
      </c>
      <c r="G11" s="6"/>
    </row>
    <row r="12" spans="6:7" ht="15.75" thickBot="1" x14ac:dyDescent="0.3">
      <c r="F12" s="7" t="s">
        <v>25</v>
      </c>
      <c r="G12" s="4"/>
    </row>
    <row r="13" spans="6:7" ht="15.75" thickBot="1" x14ac:dyDescent="0.3">
      <c r="F13" s="5" t="s">
        <v>38</v>
      </c>
      <c r="G13" s="4"/>
    </row>
    <row r="14" spans="6:7" ht="15.75" thickBot="1" x14ac:dyDescent="0.3">
      <c r="F14" s="5" t="s">
        <v>139</v>
      </c>
      <c r="G14" s="4">
        <f>G13+G12</f>
        <v>0</v>
      </c>
    </row>
    <row r="15" spans="6:7" ht="15.75" thickBot="1" x14ac:dyDescent="0.3">
      <c r="F15" s="3" t="s">
        <v>140</v>
      </c>
      <c r="G15" s="8"/>
    </row>
    <row r="16" spans="6:7" ht="15.75" thickBot="1" x14ac:dyDescent="0.3">
      <c r="F16" s="9" t="s">
        <v>141</v>
      </c>
      <c r="G16" s="10">
        <v>7.9</v>
      </c>
    </row>
    <row r="17" spans="6:8" ht="15.75" thickBot="1" x14ac:dyDescent="0.3">
      <c r="F17" s="9" t="s">
        <v>142</v>
      </c>
      <c r="G17" s="11">
        <v>1.66</v>
      </c>
    </row>
    <row r="20" spans="6:8" ht="15.75" thickBot="1" x14ac:dyDescent="0.3"/>
    <row r="21" spans="6:8" x14ac:dyDescent="0.25">
      <c r="F21" s="12" t="s">
        <v>143</v>
      </c>
      <c r="G21" s="13" t="e">
        <f>G3/G12</f>
        <v>#DIV/0!</v>
      </c>
      <c r="H21" s="26" t="s">
        <v>157</v>
      </c>
    </row>
    <row r="22" spans="6:8" x14ac:dyDescent="0.25">
      <c r="F22" s="14" t="s">
        <v>144</v>
      </c>
      <c r="G22" s="15" t="e">
        <f>G8/G7</f>
        <v>#DIV/0!</v>
      </c>
      <c r="H22" s="25" t="s">
        <v>155</v>
      </c>
    </row>
    <row r="23" spans="6:8" x14ac:dyDescent="0.25">
      <c r="F23" s="14" t="s">
        <v>145</v>
      </c>
      <c r="G23" s="15" t="e">
        <f>G10/G8</f>
        <v>#DIV/0!</v>
      </c>
      <c r="H23" s="26" t="s">
        <v>156</v>
      </c>
    </row>
    <row r="24" spans="6:8" x14ac:dyDescent="0.25">
      <c r="F24" s="14" t="s">
        <v>146</v>
      </c>
      <c r="G24" s="15" t="e">
        <f>G10/G9</f>
        <v>#DIV/0!</v>
      </c>
    </row>
    <row r="25" spans="6:8" x14ac:dyDescent="0.25">
      <c r="F25" s="16" t="s">
        <v>147</v>
      </c>
      <c r="G25" s="15" t="e">
        <f>G10/G11</f>
        <v>#DIV/0!</v>
      </c>
    </row>
    <row r="26" spans="6:8" ht="15.75" thickBot="1" x14ac:dyDescent="0.3">
      <c r="F26" s="17" t="s">
        <v>148</v>
      </c>
      <c r="G26" s="18" t="e">
        <f>G15/G25</f>
        <v>#DIV/0!</v>
      </c>
    </row>
    <row r="27" spans="6:8" ht="15.75" thickBot="1" x14ac:dyDescent="0.3">
      <c r="F27" s="19" t="s">
        <v>149</v>
      </c>
      <c r="G27" s="20" t="e">
        <f>G9/G11</f>
        <v>#DIV/0!</v>
      </c>
    </row>
    <row r="28" spans="6:8" x14ac:dyDescent="0.25">
      <c r="F28" s="21" t="s">
        <v>150</v>
      </c>
      <c r="G28" s="22" t="e">
        <f>G15/G27</f>
        <v>#DIV/0!</v>
      </c>
    </row>
    <row r="29" spans="6:8" x14ac:dyDescent="0.25">
      <c r="F29" s="16" t="s">
        <v>151</v>
      </c>
      <c r="G29" s="15" t="e">
        <f>(G16/G26)*G15</f>
        <v>#DIV/0!</v>
      </c>
    </row>
    <row r="30" spans="6:8" x14ac:dyDescent="0.25">
      <c r="F30" s="21" t="s">
        <v>152</v>
      </c>
      <c r="G30" s="15" t="e">
        <f>(G17/G28)*G15</f>
        <v>#DIV/0!</v>
      </c>
    </row>
    <row r="31" spans="6:8" ht="15.75" thickBot="1" x14ac:dyDescent="0.3">
      <c r="F31" s="23" t="s">
        <v>153</v>
      </c>
      <c r="G31" s="24" t="e">
        <f>(G29+G30)/2</f>
        <v>#DIV/0!</v>
      </c>
    </row>
    <row r="1001" spans="1:2" x14ac:dyDescent="0.25">
      <c r="A1001" t="s">
        <v>0</v>
      </c>
      <c r="B1001" t="s">
        <v>154</v>
      </c>
    </row>
    <row r="1002" spans="1:2" x14ac:dyDescent="0.25">
      <c r="A1002" t="s">
        <v>1</v>
      </c>
    </row>
    <row r="1003" spans="1:2" x14ac:dyDescent="0.25">
      <c r="A1003" t="s">
        <v>2</v>
      </c>
      <c r="B1003">
        <v>283019861</v>
      </c>
    </row>
    <row r="1004" spans="1:2" x14ac:dyDescent="0.25">
      <c r="A1004" t="s">
        <v>3</v>
      </c>
      <c r="B1004">
        <v>31570908</v>
      </c>
    </row>
    <row r="1005" spans="1:2" x14ac:dyDescent="0.25">
      <c r="A1005" t="s">
        <v>4</v>
      </c>
      <c r="B1005">
        <v>250858196</v>
      </c>
    </row>
    <row r="1006" spans="1:2" x14ac:dyDescent="0.25">
      <c r="A1006" t="s">
        <v>5</v>
      </c>
      <c r="B1006">
        <v>0</v>
      </c>
    </row>
    <row r="1007" spans="1:2" x14ac:dyDescent="0.25">
      <c r="A1007" t="s">
        <v>6</v>
      </c>
      <c r="B1007">
        <v>0</v>
      </c>
    </row>
    <row r="1008" spans="1:2" x14ac:dyDescent="0.25">
      <c r="A1008" t="s">
        <v>7</v>
      </c>
      <c r="B1008">
        <v>2877</v>
      </c>
    </row>
    <row r="1009" spans="1:2" x14ac:dyDescent="0.25">
      <c r="A1009" t="s">
        <v>8</v>
      </c>
      <c r="B1009">
        <v>0</v>
      </c>
    </row>
    <row r="1010" spans="1:2" x14ac:dyDescent="0.25">
      <c r="A1010" t="s">
        <v>9</v>
      </c>
      <c r="B1010">
        <v>0</v>
      </c>
    </row>
    <row r="1011" spans="1:2" x14ac:dyDescent="0.25">
      <c r="A1011" t="s">
        <v>10</v>
      </c>
      <c r="B1011">
        <v>0</v>
      </c>
    </row>
    <row r="1012" spans="1:2" x14ac:dyDescent="0.25">
      <c r="A1012" t="s">
        <v>11</v>
      </c>
      <c r="B1012">
        <v>587880</v>
      </c>
    </row>
    <row r="1013" spans="1:2" x14ac:dyDescent="0.25">
      <c r="A1013" t="s">
        <v>12</v>
      </c>
      <c r="B1013">
        <v>283019861</v>
      </c>
    </row>
    <row r="1014" spans="1:2" x14ac:dyDescent="0.25">
      <c r="A1014" t="s">
        <v>13</v>
      </c>
      <c r="B1014">
        <v>0</v>
      </c>
    </row>
    <row r="1015" spans="1:2" x14ac:dyDescent="0.25">
      <c r="A1015" t="s">
        <v>14</v>
      </c>
      <c r="B1015">
        <v>176364</v>
      </c>
    </row>
    <row r="1016" spans="1:2" x14ac:dyDescent="0.25">
      <c r="A1016" t="s">
        <v>5</v>
      </c>
      <c r="B1016">
        <v>0</v>
      </c>
    </row>
    <row r="1017" spans="1:2" x14ac:dyDescent="0.25">
      <c r="A1017" t="s">
        <v>6</v>
      </c>
      <c r="B1017">
        <v>0</v>
      </c>
    </row>
    <row r="1018" spans="1:2" x14ac:dyDescent="0.25">
      <c r="A1018" t="s">
        <v>7</v>
      </c>
      <c r="B1018">
        <v>0</v>
      </c>
    </row>
    <row r="1019" spans="1:2" x14ac:dyDescent="0.25">
      <c r="A1019" t="s">
        <v>8</v>
      </c>
      <c r="B1019">
        <v>0</v>
      </c>
    </row>
    <row r="1020" spans="1:2" x14ac:dyDescent="0.25">
      <c r="A1020" t="s">
        <v>4</v>
      </c>
      <c r="B1020">
        <v>0</v>
      </c>
    </row>
    <row r="1021" spans="1:2" x14ac:dyDescent="0.25">
      <c r="A1021" t="s">
        <v>15</v>
      </c>
      <c r="B1021">
        <v>0</v>
      </c>
    </row>
    <row r="1022" spans="1:2" x14ac:dyDescent="0.25">
      <c r="A1022" t="s">
        <v>10</v>
      </c>
      <c r="B1022">
        <v>0</v>
      </c>
    </row>
    <row r="1023" spans="1:2" x14ac:dyDescent="0.25">
      <c r="A1023" t="s">
        <v>16</v>
      </c>
      <c r="B1023">
        <v>0</v>
      </c>
    </row>
    <row r="1024" spans="1:2" x14ac:dyDescent="0.25">
      <c r="A1024" t="s">
        <v>9</v>
      </c>
      <c r="B1024">
        <v>0</v>
      </c>
    </row>
    <row r="1025" spans="1:2" x14ac:dyDescent="0.25">
      <c r="A1025" t="s">
        <v>17</v>
      </c>
      <c r="B1025">
        <v>0</v>
      </c>
    </row>
    <row r="1026" spans="1:2" x14ac:dyDescent="0.25">
      <c r="A1026" t="s">
        <v>18</v>
      </c>
      <c r="B1026">
        <v>176364</v>
      </c>
    </row>
    <row r="1027" spans="1:2" x14ac:dyDescent="0.25">
      <c r="A1027" t="s">
        <v>19</v>
      </c>
      <c r="B1027">
        <v>0</v>
      </c>
    </row>
    <row r="1028" spans="1:2" x14ac:dyDescent="0.25">
      <c r="A1028" t="s">
        <v>20</v>
      </c>
      <c r="B1028">
        <v>0</v>
      </c>
    </row>
    <row r="1029" spans="1:2" x14ac:dyDescent="0.25">
      <c r="A1029" t="s">
        <v>21</v>
      </c>
      <c r="B1029">
        <v>0</v>
      </c>
    </row>
    <row r="1030" spans="1:2" x14ac:dyDescent="0.25">
      <c r="A1030" t="s">
        <v>22</v>
      </c>
      <c r="B1030">
        <v>0</v>
      </c>
    </row>
    <row r="1031" spans="1:2" x14ac:dyDescent="0.25">
      <c r="A1031" t="s">
        <v>23</v>
      </c>
      <c r="B1031">
        <v>283196225</v>
      </c>
    </row>
    <row r="1032" spans="1:2" x14ac:dyDescent="0.25">
      <c r="A1032" t="s">
        <v>24</v>
      </c>
      <c r="B1032">
        <v>0</v>
      </c>
    </row>
    <row r="1033" spans="1:2" x14ac:dyDescent="0.25">
      <c r="A1033" t="s">
        <v>25</v>
      </c>
      <c r="B1033">
        <v>1516159</v>
      </c>
    </row>
    <row r="1034" spans="1:2" x14ac:dyDescent="0.25">
      <c r="A1034" t="s">
        <v>26</v>
      </c>
      <c r="B1034">
        <v>0</v>
      </c>
    </row>
    <row r="1035" spans="1:2" x14ac:dyDescent="0.25">
      <c r="A1035" t="s">
        <v>27</v>
      </c>
      <c r="B1035">
        <v>0</v>
      </c>
    </row>
    <row r="1036" spans="1:2" x14ac:dyDescent="0.25">
      <c r="A1036" t="s">
        <v>28</v>
      </c>
      <c r="B1036">
        <v>1241593</v>
      </c>
    </row>
    <row r="1037" spans="1:2" x14ac:dyDescent="0.25">
      <c r="A1037" t="s">
        <v>29</v>
      </c>
      <c r="B1037">
        <v>9221</v>
      </c>
    </row>
    <row r="1038" spans="1:2" x14ac:dyDescent="0.25">
      <c r="A1038" t="s">
        <v>30</v>
      </c>
      <c r="B1038">
        <v>0</v>
      </c>
    </row>
    <row r="1039" spans="1:2" x14ac:dyDescent="0.25">
      <c r="A1039" t="s">
        <v>31</v>
      </c>
      <c r="B1039">
        <v>0</v>
      </c>
    </row>
    <row r="1040" spans="1:2" x14ac:dyDescent="0.25">
      <c r="A1040" t="s">
        <v>32</v>
      </c>
      <c r="B1040">
        <v>0</v>
      </c>
    </row>
    <row r="1041" spans="1:2" x14ac:dyDescent="0.25">
      <c r="A1041" t="s">
        <v>33</v>
      </c>
      <c r="B1041">
        <v>0</v>
      </c>
    </row>
    <row r="1042" spans="1:2" x14ac:dyDescent="0.25">
      <c r="A1042" t="s">
        <v>34</v>
      </c>
      <c r="B1042">
        <v>0</v>
      </c>
    </row>
    <row r="1043" spans="1:2" x14ac:dyDescent="0.25">
      <c r="A1043" t="s">
        <v>35</v>
      </c>
      <c r="B1043">
        <v>169445</v>
      </c>
    </row>
    <row r="1044" spans="1:2" x14ac:dyDescent="0.25">
      <c r="A1044" t="s">
        <v>36</v>
      </c>
      <c r="B1044">
        <v>95900</v>
      </c>
    </row>
    <row r="1045" spans="1:2" x14ac:dyDescent="0.25">
      <c r="A1045" t="s">
        <v>12</v>
      </c>
      <c r="B1045">
        <v>1516159</v>
      </c>
    </row>
    <row r="1046" spans="1:2" x14ac:dyDescent="0.25">
      <c r="A1046" t="s">
        <v>37</v>
      </c>
      <c r="B1046">
        <v>0</v>
      </c>
    </row>
    <row r="1047" spans="1:2" x14ac:dyDescent="0.25">
      <c r="A1047" t="s">
        <v>38</v>
      </c>
      <c r="B1047">
        <v>590304</v>
      </c>
    </row>
    <row r="1048" spans="1:2" x14ac:dyDescent="0.25">
      <c r="A1048" t="s">
        <v>26</v>
      </c>
      <c r="B1048">
        <v>0</v>
      </c>
    </row>
    <row r="1049" spans="1:2" x14ac:dyDescent="0.25">
      <c r="A1049" t="s">
        <v>27</v>
      </c>
      <c r="B1049">
        <v>0</v>
      </c>
    </row>
    <row r="1050" spans="1:2" x14ac:dyDescent="0.25">
      <c r="A1050" t="s">
        <v>28</v>
      </c>
      <c r="B1050">
        <v>0</v>
      </c>
    </row>
    <row r="1051" spans="1:2" x14ac:dyDescent="0.25">
      <c r="A1051" t="s">
        <v>29</v>
      </c>
      <c r="B1051">
        <v>0</v>
      </c>
    </row>
    <row r="1052" spans="1:2" x14ac:dyDescent="0.25">
      <c r="A1052" t="s">
        <v>39</v>
      </c>
      <c r="B1052">
        <v>0</v>
      </c>
    </row>
    <row r="1053" spans="1:2" x14ac:dyDescent="0.25">
      <c r="A1053" t="s">
        <v>31</v>
      </c>
      <c r="B1053">
        <v>0</v>
      </c>
    </row>
    <row r="1054" spans="1:2" x14ac:dyDescent="0.25">
      <c r="A1054" t="s">
        <v>32</v>
      </c>
      <c r="B1054">
        <v>0</v>
      </c>
    </row>
    <row r="1055" spans="1:2" x14ac:dyDescent="0.25">
      <c r="A1055" t="s">
        <v>40</v>
      </c>
      <c r="B1055">
        <v>0</v>
      </c>
    </row>
    <row r="1056" spans="1:2" x14ac:dyDescent="0.25">
      <c r="A1056" t="s">
        <v>41</v>
      </c>
      <c r="B1056">
        <v>590304</v>
      </c>
    </row>
    <row r="1057" spans="1:2" x14ac:dyDescent="0.25">
      <c r="A1057" t="s">
        <v>42</v>
      </c>
      <c r="B1057">
        <v>0</v>
      </c>
    </row>
    <row r="1058" spans="1:2" x14ac:dyDescent="0.25">
      <c r="A1058" t="s">
        <v>43</v>
      </c>
      <c r="B1058">
        <v>0</v>
      </c>
    </row>
    <row r="1059" spans="1:2" x14ac:dyDescent="0.25">
      <c r="A1059" t="s">
        <v>44</v>
      </c>
      <c r="B1059">
        <v>0</v>
      </c>
    </row>
    <row r="1060" spans="1:2" x14ac:dyDescent="0.25">
      <c r="A1060" t="s">
        <v>45</v>
      </c>
      <c r="B1060">
        <v>281089762</v>
      </c>
    </row>
    <row r="1061" spans="1:2" x14ac:dyDescent="0.25">
      <c r="A1061" t="s">
        <v>46</v>
      </c>
      <c r="B1061">
        <v>281089762</v>
      </c>
    </row>
    <row r="1062" spans="1:2" x14ac:dyDescent="0.25">
      <c r="A1062" t="s">
        <v>47</v>
      </c>
      <c r="B1062">
        <v>42000000</v>
      </c>
    </row>
    <row r="1063" spans="1:2" x14ac:dyDescent="0.25">
      <c r="A1063" t="s">
        <v>48</v>
      </c>
      <c r="B1063">
        <v>0</v>
      </c>
    </row>
    <row r="1064" spans="1:2" x14ac:dyDescent="0.25">
      <c r="A1064" t="s">
        <v>49</v>
      </c>
      <c r="B1064">
        <v>2475242</v>
      </c>
    </row>
    <row r="1065" spans="1:2" x14ac:dyDescent="0.25">
      <c r="A1065" t="s">
        <v>50</v>
      </c>
      <c r="B1065">
        <v>0</v>
      </c>
    </row>
    <row r="1066" spans="1:2" x14ac:dyDescent="0.25">
      <c r="A1066" t="s">
        <v>51</v>
      </c>
      <c r="B1066">
        <v>0</v>
      </c>
    </row>
    <row r="1067" spans="1:2" x14ac:dyDescent="0.25">
      <c r="A1067" t="s">
        <v>52</v>
      </c>
      <c r="B1067">
        <v>29554554</v>
      </c>
    </row>
    <row r="1068" spans="1:2" x14ac:dyDescent="0.25">
      <c r="A1068" t="s">
        <v>53</v>
      </c>
      <c r="B1068">
        <v>-146115939</v>
      </c>
    </row>
    <row r="1069" spans="1:2" x14ac:dyDescent="0.25">
      <c r="A1069" t="s">
        <v>54</v>
      </c>
      <c r="B1069">
        <v>-69281706</v>
      </c>
    </row>
    <row r="1070" spans="1:2" x14ac:dyDescent="0.25">
      <c r="A1070" t="s">
        <v>55</v>
      </c>
      <c r="B1070">
        <v>422457611</v>
      </c>
    </row>
    <row r="1071" spans="1:2" x14ac:dyDescent="0.25">
      <c r="A1071" t="s">
        <v>56</v>
      </c>
      <c r="B1071">
        <v>0</v>
      </c>
    </row>
    <row r="1072" spans="1:2" x14ac:dyDescent="0.25">
      <c r="A1072" t="s">
        <v>57</v>
      </c>
      <c r="B1072">
        <v>283196225</v>
      </c>
    </row>
    <row r="1073" spans="1:2" x14ac:dyDescent="0.25">
      <c r="A1073" t="s">
        <v>58</v>
      </c>
    </row>
    <row r="1074" spans="1:2" x14ac:dyDescent="0.25">
      <c r="A1074" t="s">
        <v>59</v>
      </c>
      <c r="B1074">
        <v>0</v>
      </c>
    </row>
    <row r="1075" spans="1:2" x14ac:dyDescent="0.25">
      <c r="A1075" t="s">
        <v>60</v>
      </c>
      <c r="B1075">
        <v>4875076791</v>
      </c>
    </row>
    <row r="1076" spans="1:2" x14ac:dyDescent="0.25">
      <c r="A1076" t="s">
        <v>61</v>
      </c>
      <c r="B1076">
        <v>-4791014716</v>
      </c>
    </row>
    <row r="1077" spans="1:2" x14ac:dyDescent="0.25">
      <c r="A1077" t="s">
        <v>62</v>
      </c>
      <c r="B1077">
        <v>0</v>
      </c>
    </row>
    <row r="1078" spans="1:2" x14ac:dyDescent="0.25">
      <c r="A1078" t="s">
        <v>63</v>
      </c>
      <c r="B1078">
        <v>84062075</v>
      </c>
    </row>
    <row r="1079" spans="1:2" x14ac:dyDescent="0.25">
      <c r="A1079" t="s">
        <v>64</v>
      </c>
      <c r="B1079">
        <v>0</v>
      </c>
    </row>
    <row r="1080" spans="1:2" x14ac:dyDescent="0.25">
      <c r="A1080" t="s">
        <v>65</v>
      </c>
      <c r="B1080">
        <v>0</v>
      </c>
    </row>
    <row r="1081" spans="1:2" x14ac:dyDescent="0.25">
      <c r="A1081" t="s">
        <v>66</v>
      </c>
      <c r="B1081">
        <v>0</v>
      </c>
    </row>
    <row r="1082" spans="1:2" x14ac:dyDescent="0.25">
      <c r="A1082" t="s">
        <v>67</v>
      </c>
      <c r="B1082">
        <v>0</v>
      </c>
    </row>
    <row r="1083" spans="1:2" x14ac:dyDescent="0.25">
      <c r="A1083" t="s">
        <v>68</v>
      </c>
      <c r="B1083">
        <v>0</v>
      </c>
    </row>
    <row r="1084" spans="1:2" x14ac:dyDescent="0.25">
      <c r="A1084" t="s">
        <v>69</v>
      </c>
      <c r="B1084">
        <v>84062075</v>
      </c>
    </row>
    <row r="1085" spans="1:2" x14ac:dyDescent="0.25">
      <c r="A1085" t="s">
        <v>70</v>
      </c>
      <c r="B1085">
        <v>0</v>
      </c>
    </row>
    <row r="1086" spans="1:2" x14ac:dyDescent="0.25">
      <c r="A1086" t="s">
        <v>71</v>
      </c>
      <c r="B1086">
        <v>-5564194</v>
      </c>
    </row>
    <row r="1087" spans="1:2" x14ac:dyDescent="0.25">
      <c r="A1087" t="s">
        <v>72</v>
      </c>
      <c r="B1087">
        <v>0</v>
      </c>
    </row>
    <row r="1088" spans="1:2" x14ac:dyDescent="0.25">
      <c r="A1088" t="s">
        <v>73</v>
      </c>
      <c r="B1088">
        <v>92049</v>
      </c>
    </row>
    <row r="1089" spans="1:2" x14ac:dyDescent="0.25">
      <c r="A1089" t="s">
        <v>74</v>
      </c>
      <c r="B1089">
        <v>0</v>
      </c>
    </row>
    <row r="1090" spans="1:2" x14ac:dyDescent="0.25">
      <c r="A1090" t="s">
        <v>75</v>
      </c>
      <c r="B1090">
        <v>0</v>
      </c>
    </row>
    <row r="1091" spans="1:2" x14ac:dyDescent="0.25">
      <c r="A1091" t="s">
        <v>76</v>
      </c>
      <c r="B1091">
        <v>78589930</v>
      </c>
    </row>
    <row r="1092" spans="1:2" x14ac:dyDescent="0.25">
      <c r="A1092" t="s">
        <v>77</v>
      </c>
      <c r="B1092">
        <v>78497881</v>
      </c>
    </row>
    <row r="1093" spans="1:2" x14ac:dyDescent="0.25">
      <c r="A1093" t="s">
        <v>78</v>
      </c>
      <c r="B1093">
        <v>0</v>
      </c>
    </row>
    <row r="1094" spans="1:2" x14ac:dyDescent="0.25">
      <c r="A1094" t="s">
        <v>79</v>
      </c>
      <c r="B1094">
        <v>0</v>
      </c>
    </row>
    <row r="1095" spans="1:2" x14ac:dyDescent="0.25">
      <c r="A1095" t="s">
        <v>68</v>
      </c>
      <c r="B1095">
        <v>0</v>
      </c>
    </row>
    <row r="1096" spans="1:2" x14ac:dyDescent="0.25">
      <c r="A1096" t="s">
        <v>80</v>
      </c>
      <c r="B1096">
        <v>0</v>
      </c>
    </row>
    <row r="1097" spans="1:2" x14ac:dyDescent="0.25">
      <c r="A1097" t="s">
        <v>81</v>
      </c>
      <c r="B1097">
        <v>78589930</v>
      </c>
    </row>
    <row r="1098" spans="1:2" x14ac:dyDescent="0.25">
      <c r="A1098" t="s">
        <v>82</v>
      </c>
      <c r="B1098">
        <v>0</v>
      </c>
    </row>
    <row r="1099" spans="1:2" x14ac:dyDescent="0.25">
      <c r="A1099" t="s">
        <v>83</v>
      </c>
      <c r="B1099">
        <v>-138801383</v>
      </c>
    </row>
    <row r="1100" spans="1:2" x14ac:dyDescent="0.25">
      <c r="A1100" t="s">
        <v>84</v>
      </c>
      <c r="B1100">
        <v>0</v>
      </c>
    </row>
    <row r="1101" spans="1:2" x14ac:dyDescent="0.25">
      <c r="A1101" t="s">
        <v>85</v>
      </c>
      <c r="B1101">
        <v>-60211453</v>
      </c>
    </row>
    <row r="1102" spans="1:2" x14ac:dyDescent="0.25">
      <c r="A1102" t="s">
        <v>86</v>
      </c>
      <c r="B1102">
        <v>0</v>
      </c>
    </row>
    <row r="1103" spans="1:2" x14ac:dyDescent="0.25">
      <c r="A1103" t="s">
        <v>87</v>
      </c>
      <c r="B1103">
        <v>0</v>
      </c>
    </row>
    <row r="1104" spans="1:2" x14ac:dyDescent="0.25">
      <c r="A1104" t="s">
        <v>88</v>
      </c>
      <c r="B1104">
        <v>0</v>
      </c>
    </row>
    <row r="1105" spans="1:2" x14ac:dyDescent="0.25">
      <c r="A1105" t="s">
        <v>89</v>
      </c>
      <c r="B1105">
        <v>0</v>
      </c>
    </row>
    <row r="1106" spans="1:2" x14ac:dyDescent="0.25">
      <c r="A1106" t="s">
        <v>90</v>
      </c>
      <c r="B1106">
        <v>-60211453</v>
      </c>
    </row>
    <row r="1107" spans="1:2" x14ac:dyDescent="0.25">
      <c r="A1107" t="s">
        <v>91</v>
      </c>
      <c r="B1107">
        <v>0</v>
      </c>
    </row>
    <row r="1108" spans="1:2" x14ac:dyDescent="0.25">
      <c r="A1108" t="s">
        <v>92</v>
      </c>
      <c r="B1108">
        <v>0</v>
      </c>
    </row>
    <row r="1109" spans="1:2" x14ac:dyDescent="0.25">
      <c r="A1109" t="s">
        <v>93</v>
      </c>
      <c r="B1109">
        <v>-60211453</v>
      </c>
    </row>
    <row r="1110" spans="1:2" x14ac:dyDescent="0.25">
      <c r="A1110" t="s">
        <v>94</v>
      </c>
      <c r="B1110">
        <v>0</v>
      </c>
    </row>
    <row r="1111" spans="1:2" x14ac:dyDescent="0.25">
      <c r="A1111" t="s">
        <v>56</v>
      </c>
      <c r="B1111">
        <v>0</v>
      </c>
    </row>
    <row r="1112" spans="1:2" x14ac:dyDescent="0.25">
      <c r="A1112" t="s">
        <v>95</v>
      </c>
      <c r="B1112">
        <v>-60211453</v>
      </c>
    </row>
    <row r="1113" spans="1:2" x14ac:dyDescent="0.25">
      <c r="A1113" t="s">
        <v>96</v>
      </c>
      <c r="B1113">
        <v>-1</v>
      </c>
    </row>
    <row r="1114" spans="1:2" x14ac:dyDescent="0.25">
      <c r="A1114" t="s">
        <v>97</v>
      </c>
      <c r="B1114">
        <v>0</v>
      </c>
    </row>
    <row r="1115" spans="1:2" x14ac:dyDescent="0.25">
      <c r="A1115" t="s">
        <v>98</v>
      </c>
      <c r="B1115">
        <v>0</v>
      </c>
    </row>
    <row r="1116" spans="1:2" x14ac:dyDescent="0.25">
      <c r="A1116" t="s">
        <v>99</v>
      </c>
      <c r="B1116">
        <v>0</v>
      </c>
    </row>
    <row r="1117" spans="1:2" x14ac:dyDescent="0.25">
      <c r="A1117" t="s">
        <v>100</v>
      </c>
    </row>
    <row r="1118" spans="1:2" x14ac:dyDescent="0.25">
      <c r="A1118" t="s">
        <v>101</v>
      </c>
      <c r="B1118">
        <v>79304</v>
      </c>
    </row>
    <row r="1119" spans="1:2" x14ac:dyDescent="0.25">
      <c r="A1119" t="s">
        <v>102</v>
      </c>
      <c r="B1119">
        <v>48256</v>
      </c>
    </row>
    <row r="1120" spans="1:2" x14ac:dyDescent="0.25">
      <c r="A1120" t="s">
        <v>103</v>
      </c>
      <c r="B1120">
        <v>-138801383</v>
      </c>
    </row>
    <row r="1121" spans="1:2" x14ac:dyDescent="0.25">
      <c r="A1121" t="s">
        <v>104</v>
      </c>
      <c r="B1121">
        <v>0</v>
      </c>
    </row>
    <row r="1122" spans="1:2" x14ac:dyDescent="0.25">
      <c r="A1122" t="s">
        <v>105</v>
      </c>
      <c r="B1122">
        <v>0</v>
      </c>
    </row>
    <row r="1123" spans="1:2" x14ac:dyDescent="0.25">
      <c r="A1123" t="s">
        <v>106</v>
      </c>
      <c r="B1123">
        <v>0</v>
      </c>
    </row>
    <row r="1124" spans="1:2" x14ac:dyDescent="0.25">
      <c r="A1124" t="s">
        <v>107</v>
      </c>
      <c r="B1124">
        <v>0</v>
      </c>
    </row>
    <row r="1125" spans="1:2" x14ac:dyDescent="0.25">
      <c r="A1125" t="s">
        <v>108</v>
      </c>
      <c r="B1125">
        <v>0</v>
      </c>
    </row>
    <row r="1126" spans="1:2" x14ac:dyDescent="0.25">
      <c r="A1126" t="s">
        <v>109</v>
      </c>
    </row>
    <row r="1127" spans="1:2" x14ac:dyDescent="0.25">
      <c r="A1127" t="s">
        <v>110</v>
      </c>
      <c r="B1127">
        <v>12172888</v>
      </c>
    </row>
    <row r="1128" spans="1:2" x14ac:dyDescent="0.25">
      <c r="A1128" t="s">
        <v>111</v>
      </c>
      <c r="B1128">
        <v>-60211453</v>
      </c>
    </row>
    <row r="1129" spans="1:2" x14ac:dyDescent="0.25">
      <c r="A1129" t="s">
        <v>112</v>
      </c>
      <c r="B1129">
        <v>112721897</v>
      </c>
    </row>
    <row r="1130" spans="1:2" x14ac:dyDescent="0.25">
      <c r="A1130" t="s">
        <v>113</v>
      </c>
      <c r="B1130">
        <v>79304</v>
      </c>
    </row>
    <row r="1131" spans="1:2" x14ac:dyDescent="0.25">
      <c r="A1131" t="s">
        <v>114</v>
      </c>
      <c r="B1131">
        <v>145596</v>
      </c>
    </row>
    <row r="1132" spans="1:2" x14ac:dyDescent="0.25">
      <c r="A1132" t="s">
        <v>115</v>
      </c>
      <c r="B1132">
        <v>112496997</v>
      </c>
    </row>
    <row r="1133" spans="1:2" x14ac:dyDescent="0.25">
      <c r="A1133" t="s">
        <v>116</v>
      </c>
      <c r="B1133">
        <v>52510444</v>
      </c>
    </row>
    <row r="1134" spans="1:2" x14ac:dyDescent="0.25">
      <c r="A1134" t="s">
        <v>117</v>
      </c>
      <c r="B1134">
        <v>-40337556</v>
      </c>
    </row>
    <row r="1135" spans="1:2" x14ac:dyDescent="0.25">
      <c r="A1135" t="s">
        <v>118</v>
      </c>
      <c r="B1135">
        <v>12172888</v>
      </c>
    </row>
    <row r="1136" spans="1:2" x14ac:dyDescent="0.25">
      <c r="A1136" t="s">
        <v>119</v>
      </c>
      <c r="B1136">
        <v>0</v>
      </c>
    </row>
    <row r="1137" spans="1:2" x14ac:dyDescent="0.25">
      <c r="A1137" t="s">
        <v>120</v>
      </c>
      <c r="B1137">
        <v>0</v>
      </c>
    </row>
    <row r="1138" spans="1:2" x14ac:dyDescent="0.25">
      <c r="A1138" t="s">
        <v>121</v>
      </c>
      <c r="B1138">
        <v>-17284803</v>
      </c>
    </row>
    <row r="1139" spans="1:2" x14ac:dyDescent="0.25">
      <c r="A1139" t="s">
        <v>122</v>
      </c>
      <c r="B1139">
        <v>-17284803</v>
      </c>
    </row>
    <row r="1140" spans="1:2" x14ac:dyDescent="0.25">
      <c r="A1140" t="s">
        <v>123</v>
      </c>
      <c r="B1140">
        <v>-5111915</v>
      </c>
    </row>
    <row r="1141" spans="1:2" x14ac:dyDescent="0.25">
      <c r="A1141" t="s">
        <v>124</v>
      </c>
      <c r="B1141">
        <v>0</v>
      </c>
    </row>
    <row r="1142" spans="1:2" x14ac:dyDescent="0.25">
      <c r="A1142" t="s">
        <v>125</v>
      </c>
      <c r="B1142">
        <v>-26123326</v>
      </c>
    </row>
    <row r="1143" spans="1:2" x14ac:dyDescent="0.25">
      <c r="A1143" t="s">
        <v>126</v>
      </c>
      <c r="B1143">
        <v>0</v>
      </c>
    </row>
    <row r="1144" spans="1:2" x14ac:dyDescent="0.25">
      <c r="A1144" t="s">
        <v>127</v>
      </c>
      <c r="B1144">
        <v>0</v>
      </c>
    </row>
    <row r="1145" spans="1:2" x14ac:dyDescent="0.25">
      <c r="A1145" t="s">
        <v>128</v>
      </c>
      <c r="B1145">
        <v>-26123326</v>
      </c>
    </row>
    <row r="1146" spans="1:2" x14ac:dyDescent="0.25">
      <c r="A1146" t="s">
        <v>129</v>
      </c>
      <c r="B1146">
        <v>-31235241</v>
      </c>
    </row>
    <row r="1147" spans="1:2" x14ac:dyDescent="0.25">
      <c r="A1147" t="s">
        <v>130</v>
      </c>
      <c r="B1147">
        <v>-38004220</v>
      </c>
    </row>
    <row r="1148" spans="1:2" x14ac:dyDescent="0.25">
      <c r="A1148" t="s">
        <v>131</v>
      </c>
      <c r="B1148">
        <v>0</v>
      </c>
    </row>
    <row r="1149" spans="1:2" x14ac:dyDescent="0.25">
      <c r="A1149" t="s">
        <v>132</v>
      </c>
      <c r="B1149">
        <v>-69239461</v>
      </c>
    </row>
    <row r="1150" spans="1:2" x14ac:dyDescent="0.25">
      <c r="A1150" t="s">
        <v>133</v>
      </c>
      <c r="B1150">
        <v>0</v>
      </c>
    </row>
    <row r="1151" spans="1:2" x14ac:dyDescent="0.25">
      <c r="A1151" t="s">
        <v>134</v>
      </c>
      <c r="B1151">
        <v>96677155</v>
      </c>
    </row>
    <row r="1152" spans="1:2" x14ac:dyDescent="0.25">
      <c r="A1152" t="s">
        <v>135</v>
      </c>
      <c r="B1152">
        <v>27437694</v>
      </c>
    </row>
    <row r="2001" spans="1:2" x14ac:dyDescent="0.25">
      <c r="A2001" t="s">
        <v>0</v>
      </c>
      <c r="B2001" t="s">
        <v>154</v>
      </c>
    </row>
    <row r="2002" spans="1:2" x14ac:dyDescent="0.25">
      <c r="A2002" t="s">
        <v>1</v>
      </c>
    </row>
    <row r="2003" spans="1:2" x14ac:dyDescent="0.25">
      <c r="A2003" t="s">
        <v>2</v>
      </c>
      <c r="B2003">
        <v>283019861</v>
      </c>
    </row>
    <row r="2004" spans="1:2" x14ac:dyDescent="0.25">
      <c r="A2004" t="s">
        <v>3</v>
      </c>
      <c r="B2004">
        <v>31570908</v>
      </c>
    </row>
    <row r="2005" spans="1:2" x14ac:dyDescent="0.25">
      <c r="A2005" t="s">
        <v>4</v>
      </c>
      <c r="B2005">
        <v>250858196</v>
      </c>
    </row>
    <row r="2006" spans="1:2" x14ac:dyDescent="0.25">
      <c r="A2006" t="s">
        <v>5</v>
      </c>
      <c r="B2006">
        <v>0</v>
      </c>
    </row>
    <row r="2007" spans="1:2" x14ac:dyDescent="0.25">
      <c r="A2007" t="s">
        <v>6</v>
      </c>
      <c r="B2007">
        <v>0</v>
      </c>
    </row>
    <row r="2008" spans="1:2" x14ac:dyDescent="0.25">
      <c r="A2008" t="s">
        <v>7</v>
      </c>
      <c r="B2008">
        <v>2877</v>
      </c>
    </row>
    <row r="2009" spans="1:2" x14ac:dyDescent="0.25">
      <c r="A2009" t="s">
        <v>8</v>
      </c>
      <c r="B2009">
        <v>0</v>
      </c>
    </row>
    <row r="2010" spans="1:2" x14ac:dyDescent="0.25">
      <c r="A2010" t="s">
        <v>9</v>
      </c>
      <c r="B2010">
        <v>0</v>
      </c>
    </row>
    <row r="2011" spans="1:2" x14ac:dyDescent="0.25">
      <c r="A2011" t="s">
        <v>10</v>
      </c>
      <c r="B2011">
        <v>0</v>
      </c>
    </row>
    <row r="2012" spans="1:2" x14ac:dyDescent="0.25">
      <c r="A2012" t="s">
        <v>11</v>
      </c>
      <c r="B2012">
        <v>587880</v>
      </c>
    </row>
    <row r="2013" spans="1:2" x14ac:dyDescent="0.25">
      <c r="A2013" t="s">
        <v>12</v>
      </c>
      <c r="B2013">
        <v>283019861</v>
      </c>
    </row>
    <row r="2014" spans="1:2" x14ac:dyDescent="0.25">
      <c r="A2014" t="s">
        <v>13</v>
      </c>
      <c r="B2014">
        <v>0</v>
      </c>
    </row>
    <row r="2015" spans="1:2" x14ac:dyDescent="0.25">
      <c r="A2015" t="s">
        <v>14</v>
      </c>
      <c r="B2015">
        <v>176364</v>
      </c>
    </row>
    <row r="2016" spans="1:2" x14ac:dyDescent="0.25">
      <c r="A2016" t="s">
        <v>5</v>
      </c>
      <c r="B2016">
        <v>0</v>
      </c>
    </row>
    <row r="2017" spans="1:2" x14ac:dyDescent="0.25">
      <c r="A2017" t="s">
        <v>6</v>
      </c>
      <c r="B2017">
        <v>0</v>
      </c>
    </row>
    <row r="2018" spans="1:2" x14ac:dyDescent="0.25">
      <c r="A2018" t="s">
        <v>7</v>
      </c>
      <c r="B2018">
        <v>0</v>
      </c>
    </row>
    <row r="2019" spans="1:2" x14ac:dyDescent="0.25">
      <c r="A2019" t="s">
        <v>8</v>
      </c>
      <c r="B2019">
        <v>0</v>
      </c>
    </row>
    <row r="2020" spans="1:2" x14ac:dyDescent="0.25">
      <c r="A2020" t="s">
        <v>4</v>
      </c>
      <c r="B2020">
        <v>0</v>
      </c>
    </row>
    <row r="2021" spans="1:2" x14ac:dyDescent="0.25">
      <c r="A2021" t="s">
        <v>15</v>
      </c>
      <c r="B2021">
        <v>0</v>
      </c>
    </row>
    <row r="2022" spans="1:2" x14ac:dyDescent="0.25">
      <c r="A2022" t="s">
        <v>10</v>
      </c>
      <c r="B2022">
        <v>0</v>
      </c>
    </row>
    <row r="2023" spans="1:2" x14ac:dyDescent="0.25">
      <c r="A2023" t="s">
        <v>16</v>
      </c>
      <c r="B2023">
        <v>0</v>
      </c>
    </row>
    <row r="2024" spans="1:2" x14ac:dyDescent="0.25">
      <c r="A2024" t="s">
        <v>9</v>
      </c>
      <c r="B2024">
        <v>0</v>
      </c>
    </row>
    <row r="2025" spans="1:2" x14ac:dyDescent="0.25">
      <c r="A2025" t="s">
        <v>17</v>
      </c>
      <c r="B2025">
        <v>0</v>
      </c>
    </row>
    <row r="2026" spans="1:2" x14ac:dyDescent="0.25">
      <c r="A2026" t="s">
        <v>18</v>
      </c>
      <c r="B2026">
        <v>176364</v>
      </c>
    </row>
    <row r="2027" spans="1:2" x14ac:dyDescent="0.25">
      <c r="A2027" t="s">
        <v>19</v>
      </c>
      <c r="B2027">
        <v>0</v>
      </c>
    </row>
    <row r="2028" spans="1:2" x14ac:dyDescent="0.25">
      <c r="A2028" t="s">
        <v>20</v>
      </c>
      <c r="B2028">
        <v>0</v>
      </c>
    </row>
    <row r="2029" spans="1:2" x14ac:dyDescent="0.25">
      <c r="A2029" t="s">
        <v>21</v>
      </c>
      <c r="B2029">
        <v>0</v>
      </c>
    </row>
    <row r="2030" spans="1:2" x14ac:dyDescent="0.25">
      <c r="A2030" t="s">
        <v>22</v>
      </c>
      <c r="B2030">
        <v>0</v>
      </c>
    </row>
    <row r="2031" spans="1:2" x14ac:dyDescent="0.25">
      <c r="A2031" t="s">
        <v>23</v>
      </c>
      <c r="B2031">
        <v>283196225</v>
      </c>
    </row>
    <row r="2032" spans="1:2" x14ac:dyDescent="0.25">
      <c r="A2032" t="s">
        <v>24</v>
      </c>
      <c r="B2032">
        <v>0</v>
      </c>
    </row>
    <row r="2033" spans="1:2" x14ac:dyDescent="0.25">
      <c r="A2033" t="s">
        <v>25</v>
      </c>
      <c r="B2033">
        <v>1516159</v>
      </c>
    </row>
    <row r="2034" spans="1:2" x14ac:dyDescent="0.25">
      <c r="A2034" t="s">
        <v>26</v>
      </c>
      <c r="B2034">
        <v>0</v>
      </c>
    </row>
    <row r="2035" spans="1:2" x14ac:dyDescent="0.25">
      <c r="A2035" t="s">
        <v>27</v>
      </c>
      <c r="B2035">
        <v>0</v>
      </c>
    </row>
    <row r="2036" spans="1:2" x14ac:dyDescent="0.25">
      <c r="A2036" t="s">
        <v>28</v>
      </c>
      <c r="B2036">
        <v>1241593</v>
      </c>
    </row>
    <row r="2037" spans="1:2" x14ac:dyDescent="0.25">
      <c r="A2037" t="s">
        <v>29</v>
      </c>
      <c r="B2037">
        <v>9221</v>
      </c>
    </row>
    <row r="2038" spans="1:2" x14ac:dyDescent="0.25">
      <c r="A2038" t="s">
        <v>30</v>
      </c>
      <c r="B2038">
        <v>0</v>
      </c>
    </row>
    <row r="2039" spans="1:2" x14ac:dyDescent="0.25">
      <c r="A2039" t="s">
        <v>31</v>
      </c>
      <c r="B2039">
        <v>0</v>
      </c>
    </row>
    <row r="2040" spans="1:2" x14ac:dyDescent="0.25">
      <c r="A2040" t="s">
        <v>32</v>
      </c>
      <c r="B2040">
        <v>0</v>
      </c>
    </row>
    <row r="2041" spans="1:2" x14ac:dyDescent="0.25">
      <c r="A2041" t="s">
        <v>33</v>
      </c>
      <c r="B2041">
        <v>0</v>
      </c>
    </row>
    <row r="2042" spans="1:2" x14ac:dyDescent="0.25">
      <c r="A2042" t="s">
        <v>34</v>
      </c>
      <c r="B2042">
        <v>0</v>
      </c>
    </row>
    <row r="2043" spans="1:2" x14ac:dyDescent="0.25">
      <c r="A2043" t="s">
        <v>35</v>
      </c>
      <c r="B2043">
        <v>169445</v>
      </c>
    </row>
    <row r="2044" spans="1:2" x14ac:dyDescent="0.25">
      <c r="A2044" t="s">
        <v>36</v>
      </c>
      <c r="B2044">
        <v>95900</v>
      </c>
    </row>
    <row r="2045" spans="1:2" x14ac:dyDescent="0.25">
      <c r="A2045" t="s">
        <v>12</v>
      </c>
      <c r="B2045">
        <v>1516159</v>
      </c>
    </row>
    <row r="2046" spans="1:2" x14ac:dyDescent="0.25">
      <c r="A2046" t="s">
        <v>37</v>
      </c>
      <c r="B2046">
        <v>0</v>
      </c>
    </row>
    <row r="2047" spans="1:2" x14ac:dyDescent="0.25">
      <c r="A2047" t="s">
        <v>38</v>
      </c>
      <c r="B2047">
        <v>590304</v>
      </c>
    </row>
    <row r="2048" spans="1:2" x14ac:dyDescent="0.25">
      <c r="A2048" t="s">
        <v>26</v>
      </c>
      <c r="B2048">
        <v>0</v>
      </c>
    </row>
    <row r="2049" spans="1:2" x14ac:dyDescent="0.25">
      <c r="A2049" t="s">
        <v>27</v>
      </c>
      <c r="B2049">
        <v>0</v>
      </c>
    </row>
    <row r="2050" spans="1:2" x14ac:dyDescent="0.25">
      <c r="A2050" t="s">
        <v>28</v>
      </c>
      <c r="B2050">
        <v>0</v>
      </c>
    </row>
    <row r="2051" spans="1:2" x14ac:dyDescent="0.25">
      <c r="A2051" t="s">
        <v>29</v>
      </c>
      <c r="B2051">
        <v>0</v>
      </c>
    </row>
    <row r="2052" spans="1:2" x14ac:dyDescent="0.25">
      <c r="A2052" t="s">
        <v>39</v>
      </c>
      <c r="B2052">
        <v>0</v>
      </c>
    </row>
    <row r="2053" spans="1:2" x14ac:dyDescent="0.25">
      <c r="A2053" t="s">
        <v>31</v>
      </c>
      <c r="B2053">
        <v>0</v>
      </c>
    </row>
    <row r="2054" spans="1:2" x14ac:dyDescent="0.25">
      <c r="A2054" t="s">
        <v>32</v>
      </c>
      <c r="B2054">
        <v>0</v>
      </c>
    </row>
    <row r="2055" spans="1:2" x14ac:dyDescent="0.25">
      <c r="A2055" t="s">
        <v>40</v>
      </c>
      <c r="B2055">
        <v>0</v>
      </c>
    </row>
    <row r="2056" spans="1:2" x14ac:dyDescent="0.25">
      <c r="A2056" t="s">
        <v>41</v>
      </c>
      <c r="B2056">
        <v>590304</v>
      </c>
    </row>
    <row r="2057" spans="1:2" x14ac:dyDescent="0.25">
      <c r="A2057" t="s">
        <v>42</v>
      </c>
      <c r="B2057">
        <v>0</v>
      </c>
    </row>
    <row r="2058" spans="1:2" x14ac:dyDescent="0.25">
      <c r="A2058" t="s">
        <v>43</v>
      </c>
      <c r="B2058">
        <v>0</v>
      </c>
    </row>
    <row r="2059" spans="1:2" x14ac:dyDescent="0.25">
      <c r="A2059" t="s">
        <v>44</v>
      </c>
      <c r="B2059">
        <v>0</v>
      </c>
    </row>
    <row r="2060" spans="1:2" x14ac:dyDescent="0.25">
      <c r="A2060" t="s">
        <v>45</v>
      </c>
      <c r="B2060">
        <v>281089762</v>
      </c>
    </row>
    <row r="2061" spans="1:2" x14ac:dyDescent="0.25">
      <c r="A2061" t="s">
        <v>46</v>
      </c>
      <c r="B2061">
        <v>281089762</v>
      </c>
    </row>
    <row r="2062" spans="1:2" x14ac:dyDescent="0.25">
      <c r="A2062" t="s">
        <v>47</v>
      </c>
      <c r="B2062">
        <v>42000000</v>
      </c>
    </row>
    <row r="2063" spans="1:2" x14ac:dyDescent="0.25">
      <c r="A2063" t="s">
        <v>48</v>
      </c>
      <c r="B2063">
        <v>0</v>
      </c>
    </row>
    <row r="2064" spans="1:2" x14ac:dyDescent="0.25">
      <c r="A2064" t="s">
        <v>49</v>
      </c>
      <c r="B2064">
        <v>2475242</v>
      </c>
    </row>
    <row r="2065" spans="1:2" x14ac:dyDescent="0.25">
      <c r="A2065" t="s">
        <v>50</v>
      </c>
      <c r="B2065">
        <v>0</v>
      </c>
    </row>
    <row r="2066" spans="1:2" x14ac:dyDescent="0.25">
      <c r="A2066" t="s">
        <v>51</v>
      </c>
      <c r="B2066">
        <v>0</v>
      </c>
    </row>
    <row r="2067" spans="1:2" x14ac:dyDescent="0.25">
      <c r="A2067" t="s">
        <v>52</v>
      </c>
      <c r="B2067">
        <v>29554554</v>
      </c>
    </row>
    <row r="2068" spans="1:2" x14ac:dyDescent="0.25">
      <c r="A2068" t="s">
        <v>53</v>
      </c>
      <c r="B2068">
        <v>-146115939</v>
      </c>
    </row>
    <row r="2069" spans="1:2" x14ac:dyDescent="0.25">
      <c r="A2069" t="s">
        <v>54</v>
      </c>
      <c r="B2069">
        <v>-69281706</v>
      </c>
    </row>
    <row r="2070" spans="1:2" x14ac:dyDescent="0.25">
      <c r="A2070" t="s">
        <v>55</v>
      </c>
      <c r="B2070">
        <v>422457611</v>
      </c>
    </row>
    <row r="2071" spans="1:2" x14ac:dyDescent="0.25">
      <c r="A2071" t="s">
        <v>56</v>
      </c>
      <c r="B2071">
        <v>0</v>
      </c>
    </row>
    <row r="2072" spans="1:2" x14ac:dyDescent="0.25">
      <c r="A2072" t="s">
        <v>57</v>
      </c>
      <c r="B2072">
        <v>283196225</v>
      </c>
    </row>
    <row r="2073" spans="1:2" x14ac:dyDescent="0.25">
      <c r="A2073" t="s">
        <v>58</v>
      </c>
    </row>
    <row r="2074" spans="1:2" x14ac:dyDescent="0.25">
      <c r="A2074" t="s">
        <v>59</v>
      </c>
      <c r="B2074">
        <v>0</v>
      </c>
    </row>
    <row r="2075" spans="1:2" x14ac:dyDescent="0.25">
      <c r="A2075" t="s">
        <v>60</v>
      </c>
      <c r="B2075">
        <v>4875076791</v>
      </c>
    </row>
    <row r="2076" spans="1:2" x14ac:dyDescent="0.25">
      <c r="A2076" t="s">
        <v>61</v>
      </c>
      <c r="B2076">
        <v>-4791014716</v>
      </c>
    </row>
    <row r="2077" spans="1:2" x14ac:dyDescent="0.25">
      <c r="A2077" t="s">
        <v>62</v>
      </c>
      <c r="B2077">
        <v>0</v>
      </c>
    </row>
    <row r="2078" spans="1:2" x14ac:dyDescent="0.25">
      <c r="A2078" t="s">
        <v>63</v>
      </c>
      <c r="B2078">
        <v>84062075</v>
      </c>
    </row>
    <row r="2079" spans="1:2" x14ac:dyDescent="0.25">
      <c r="A2079" t="s">
        <v>64</v>
      </c>
      <c r="B2079">
        <v>0</v>
      </c>
    </row>
    <row r="2080" spans="1:2" x14ac:dyDescent="0.25">
      <c r="A2080" t="s">
        <v>65</v>
      </c>
      <c r="B2080">
        <v>0</v>
      </c>
    </row>
    <row r="2081" spans="1:2" x14ac:dyDescent="0.25">
      <c r="A2081" t="s">
        <v>66</v>
      </c>
      <c r="B2081">
        <v>0</v>
      </c>
    </row>
    <row r="2082" spans="1:2" x14ac:dyDescent="0.25">
      <c r="A2082" t="s">
        <v>67</v>
      </c>
      <c r="B2082">
        <v>0</v>
      </c>
    </row>
    <row r="2083" spans="1:2" x14ac:dyDescent="0.25">
      <c r="A2083" t="s">
        <v>68</v>
      </c>
      <c r="B2083">
        <v>0</v>
      </c>
    </row>
    <row r="2084" spans="1:2" x14ac:dyDescent="0.25">
      <c r="A2084" t="s">
        <v>69</v>
      </c>
      <c r="B2084">
        <v>84062075</v>
      </c>
    </row>
    <row r="2085" spans="1:2" x14ac:dyDescent="0.25">
      <c r="A2085" t="s">
        <v>70</v>
      </c>
      <c r="B2085">
        <v>0</v>
      </c>
    </row>
    <row r="2086" spans="1:2" x14ac:dyDescent="0.25">
      <c r="A2086" t="s">
        <v>71</v>
      </c>
      <c r="B2086">
        <v>-5564194</v>
      </c>
    </row>
    <row r="2087" spans="1:2" x14ac:dyDescent="0.25">
      <c r="A2087" t="s">
        <v>72</v>
      </c>
      <c r="B2087">
        <v>0</v>
      </c>
    </row>
    <row r="2088" spans="1:2" x14ac:dyDescent="0.25">
      <c r="A2088" t="s">
        <v>73</v>
      </c>
      <c r="B2088">
        <v>92049</v>
      </c>
    </row>
    <row r="2089" spans="1:2" x14ac:dyDescent="0.25">
      <c r="A2089" t="s">
        <v>74</v>
      </c>
      <c r="B2089">
        <v>0</v>
      </c>
    </row>
    <row r="2090" spans="1:2" x14ac:dyDescent="0.25">
      <c r="A2090" t="s">
        <v>75</v>
      </c>
      <c r="B2090">
        <v>0</v>
      </c>
    </row>
    <row r="2091" spans="1:2" x14ac:dyDescent="0.25">
      <c r="A2091" t="s">
        <v>76</v>
      </c>
      <c r="B2091">
        <v>78589930</v>
      </c>
    </row>
    <row r="2092" spans="1:2" x14ac:dyDescent="0.25">
      <c r="A2092" t="s">
        <v>77</v>
      </c>
      <c r="B2092">
        <v>78497881</v>
      </c>
    </row>
    <row r="2093" spans="1:2" x14ac:dyDescent="0.25">
      <c r="A2093" t="s">
        <v>78</v>
      </c>
      <c r="B2093">
        <v>0</v>
      </c>
    </row>
    <row r="2094" spans="1:2" x14ac:dyDescent="0.25">
      <c r="A2094" t="s">
        <v>79</v>
      </c>
      <c r="B2094">
        <v>0</v>
      </c>
    </row>
    <row r="2095" spans="1:2" x14ac:dyDescent="0.25">
      <c r="A2095" t="s">
        <v>68</v>
      </c>
      <c r="B2095">
        <v>0</v>
      </c>
    </row>
    <row r="2096" spans="1:2" x14ac:dyDescent="0.25">
      <c r="A2096" t="s">
        <v>80</v>
      </c>
      <c r="B2096">
        <v>0</v>
      </c>
    </row>
    <row r="2097" spans="1:2" x14ac:dyDescent="0.25">
      <c r="A2097" t="s">
        <v>81</v>
      </c>
      <c r="B2097">
        <v>78589930</v>
      </c>
    </row>
    <row r="2098" spans="1:2" x14ac:dyDescent="0.25">
      <c r="A2098" t="s">
        <v>82</v>
      </c>
      <c r="B2098">
        <v>0</v>
      </c>
    </row>
    <row r="2099" spans="1:2" x14ac:dyDescent="0.25">
      <c r="A2099" t="s">
        <v>83</v>
      </c>
      <c r="B2099">
        <v>-138801383</v>
      </c>
    </row>
    <row r="2100" spans="1:2" x14ac:dyDescent="0.25">
      <c r="A2100" t="s">
        <v>84</v>
      </c>
      <c r="B2100">
        <v>0</v>
      </c>
    </row>
    <row r="2101" spans="1:2" x14ac:dyDescent="0.25">
      <c r="A2101" t="s">
        <v>85</v>
      </c>
      <c r="B2101">
        <v>-60211453</v>
      </c>
    </row>
    <row r="2102" spans="1:2" x14ac:dyDescent="0.25">
      <c r="A2102" t="s">
        <v>86</v>
      </c>
      <c r="B2102">
        <v>0</v>
      </c>
    </row>
    <row r="2103" spans="1:2" x14ac:dyDescent="0.25">
      <c r="A2103" t="s">
        <v>87</v>
      </c>
      <c r="B2103">
        <v>0</v>
      </c>
    </row>
    <row r="2104" spans="1:2" x14ac:dyDescent="0.25">
      <c r="A2104" t="s">
        <v>88</v>
      </c>
      <c r="B2104">
        <v>0</v>
      </c>
    </row>
    <row r="2105" spans="1:2" x14ac:dyDescent="0.25">
      <c r="A2105" t="s">
        <v>89</v>
      </c>
      <c r="B2105">
        <v>0</v>
      </c>
    </row>
    <row r="2106" spans="1:2" x14ac:dyDescent="0.25">
      <c r="A2106" t="s">
        <v>90</v>
      </c>
      <c r="B2106">
        <v>-60211453</v>
      </c>
    </row>
    <row r="2107" spans="1:2" x14ac:dyDescent="0.25">
      <c r="A2107" t="s">
        <v>91</v>
      </c>
      <c r="B2107">
        <v>0</v>
      </c>
    </row>
    <row r="2108" spans="1:2" x14ac:dyDescent="0.25">
      <c r="A2108" t="s">
        <v>92</v>
      </c>
      <c r="B2108">
        <v>0</v>
      </c>
    </row>
    <row r="2109" spans="1:2" x14ac:dyDescent="0.25">
      <c r="A2109" t="s">
        <v>93</v>
      </c>
      <c r="B2109">
        <v>-60211453</v>
      </c>
    </row>
    <row r="2110" spans="1:2" x14ac:dyDescent="0.25">
      <c r="A2110" t="s">
        <v>94</v>
      </c>
      <c r="B2110">
        <v>0</v>
      </c>
    </row>
    <row r="2111" spans="1:2" x14ac:dyDescent="0.25">
      <c r="A2111" t="s">
        <v>56</v>
      </c>
      <c r="B2111">
        <v>0</v>
      </c>
    </row>
    <row r="2112" spans="1:2" x14ac:dyDescent="0.25">
      <c r="A2112" t="s">
        <v>95</v>
      </c>
      <c r="B2112">
        <v>-60211453</v>
      </c>
    </row>
    <row r="2113" spans="1:2" x14ac:dyDescent="0.25">
      <c r="A2113" t="s">
        <v>96</v>
      </c>
      <c r="B2113">
        <v>-1</v>
      </c>
    </row>
    <row r="2114" spans="1:2" x14ac:dyDescent="0.25">
      <c r="A2114" t="s">
        <v>97</v>
      </c>
      <c r="B2114">
        <v>0</v>
      </c>
    </row>
    <row r="2115" spans="1:2" x14ac:dyDescent="0.25">
      <c r="A2115" t="s">
        <v>98</v>
      </c>
      <c r="B2115">
        <v>0</v>
      </c>
    </row>
    <row r="2116" spans="1:2" x14ac:dyDescent="0.25">
      <c r="A2116" t="s">
        <v>99</v>
      </c>
      <c r="B2116">
        <v>0</v>
      </c>
    </row>
    <row r="2117" spans="1:2" x14ac:dyDescent="0.25">
      <c r="A2117" t="s">
        <v>100</v>
      </c>
    </row>
    <row r="2118" spans="1:2" x14ac:dyDescent="0.25">
      <c r="A2118" t="s">
        <v>101</v>
      </c>
      <c r="B2118">
        <v>79304</v>
      </c>
    </row>
    <row r="2119" spans="1:2" x14ac:dyDescent="0.25">
      <c r="A2119" t="s">
        <v>102</v>
      </c>
      <c r="B2119">
        <v>48256</v>
      </c>
    </row>
    <row r="2120" spans="1:2" x14ac:dyDescent="0.25">
      <c r="A2120" t="s">
        <v>103</v>
      </c>
      <c r="B2120">
        <v>-138801383</v>
      </c>
    </row>
    <row r="2121" spans="1:2" x14ac:dyDescent="0.25">
      <c r="A2121" t="s">
        <v>104</v>
      </c>
      <c r="B2121">
        <v>0</v>
      </c>
    </row>
    <row r="2122" spans="1:2" x14ac:dyDescent="0.25">
      <c r="A2122" t="s">
        <v>105</v>
      </c>
      <c r="B2122">
        <v>0</v>
      </c>
    </row>
    <row r="2123" spans="1:2" x14ac:dyDescent="0.25">
      <c r="A2123" t="s">
        <v>106</v>
      </c>
      <c r="B2123">
        <v>0</v>
      </c>
    </row>
    <row r="2124" spans="1:2" x14ac:dyDescent="0.25">
      <c r="A2124" t="s">
        <v>107</v>
      </c>
      <c r="B2124">
        <v>0</v>
      </c>
    </row>
    <row r="2125" spans="1:2" x14ac:dyDescent="0.25">
      <c r="A2125" t="s">
        <v>108</v>
      </c>
      <c r="B2125">
        <v>0</v>
      </c>
    </row>
    <row r="2126" spans="1:2" x14ac:dyDescent="0.25">
      <c r="A2126" t="s">
        <v>109</v>
      </c>
    </row>
    <row r="2127" spans="1:2" x14ac:dyDescent="0.25">
      <c r="A2127" t="s">
        <v>110</v>
      </c>
      <c r="B2127">
        <v>12172888</v>
      </c>
    </row>
    <row r="2128" spans="1:2" x14ac:dyDescent="0.25">
      <c r="A2128" t="s">
        <v>111</v>
      </c>
      <c r="B2128">
        <v>-60211453</v>
      </c>
    </row>
    <row r="2129" spans="1:2" x14ac:dyDescent="0.25">
      <c r="A2129" t="s">
        <v>112</v>
      </c>
      <c r="B2129">
        <v>112721897</v>
      </c>
    </row>
    <row r="2130" spans="1:2" x14ac:dyDescent="0.25">
      <c r="A2130" t="s">
        <v>113</v>
      </c>
      <c r="B2130">
        <v>79304</v>
      </c>
    </row>
    <row r="2131" spans="1:2" x14ac:dyDescent="0.25">
      <c r="A2131" t="s">
        <v>114</v>
      </c>
      <c r="B2131">
        <v>145596</v>
      </c>
    </row>
    <row r="2132" spans="1:2" x14ac:dyDescent="0.25">
      <c r="A2132" t="s">
        <v>115</v>
      </c>
      <c r="B2132">
        <v>112496997</v>
      </c>
    </row>
    <row r="2133" spans="1:2" x14ac:dyDescent="0.25">
      <c r="A2133" t="s">
        <v>116</v>
      </c>
      <c r="B2133">
        <v>52510444</v>
      </c>
    </row>
    <row r="2134" spans="1:2" x14ac:dyDescent="0.25">
      <c r="A2134" t="s">
        <v>117</v>
      </c>
      <c r="B2134">
        <v>-40337556</v>
      </c>
    </row>
    <row r="2135" spans="1:2" x14ac:dyDescent="0.25">
      <c r="A2135" t="s">
        <v>118</v>
      </c>
      <c r="B2135">
        <v>12172888</v>
      </c>
    </row>
    <row r="2136" spans="1:2" x14ac:dyDescent="0.25">
      <c r="A2136" t="s">
        <v>119</v>
      </c>
      <c r="B2136">
        <v>0</v>
      </c>
    </row>
    <row r="2137" spans="1:2" x14ac:dyDescent="0.25">
      <c r="A2137" t="s">
        <v>120</v>
      </c>
      <c r="B2137">
        <v>0</v>
      </c>
    </row>
    <row r="2138" spans="1:2" x14ac:dyDescent="0.25">
      <c r="A2138" t="s">
        <v>121</v>
      </c>
      <c r="B2138">
        <v>-17284803</v>
      </c>
    </row>
    <row r="2139" spans="1:2" x14ac:dyDescent="0.25">
      <c r="A2139" t="s">
        <v>122</v>
      </c>
      <c r="B2139">
        <v>-17284803</v>
      </c>
    </row>
    <row r="2140" spans="1:2" x14ac:dyDescent="0.25">
      <c r="A2140" t="s">
        <v>123</v>
      </c>
      <c r="B2140">
        <v>-5111915</v>
      </c>
    </row>
    <row r="2141" spans="1:2" x14ac:dyDescent="0.25">
      <c r="A2141" t="s">
        <v>124</v>
      </c>
      <c r="B2141">
        <v>0</v>
      </c>
    </row>
    <row r="2142" spans="1:2" x14ac:dyDescent="0.25">
      <c r="A2142" t="s">
        <v>125</v>
      </c>
      <c r="B2142">
        <v>-26123326</v>
      </c>
    </row>
    <row r="2143" spans="1:2" x14ac:dyDescent="0.25">
      <c r="A2143" t="s">
        <v>126</v>
      </c>
      <c r="B2143">
        <v>0</v>
      </c>
    </row>
    <row r="2144" spans="1:2" x14ac:dyDescent="0.25">
      <c r="A2144" t="s">
        <v>127</v>
      </c>
      <c r="B2144">
        <v>0</v>
      </c>
    </row>
    <row r="2145" spans="1:2" x14ac:dyDescent="0.25">
      <c r="A2145" t="s">
        <v>128</v>
      </c>
      <c r="B2145">
        <v>-26123326</v>
      </c>
    </row>
    <row r="2146" spans="1:2" x14ac:dyDescent="0.25">
      <c r="A2146" t="s">
        <v>129</v>
      </c>
      <c r="B2146">
        <v>-31235241</v>
      </c>
    </row>
    <row r="2147" spans="1:2" x14ac:dyDescent="0.25">
      <c r="A2147" t="s">
        <v>130</v>
      </c>
      <c r="B2147">
        <v>-38004220</v>
      </c>
    </row>
    <row r="2148" spans="1:2" x14ac:dyDescent="0.25">
      <c r="A2148" t="s">
        <v>131</v>
      </c>
      <c r="B2148">
        <v>0</v>
      </c>
    </row>
    <row r="2149" spans="1:2" x14ac:dyDescent="0.25">
      <c r="A2149" t="s">
        <v>132</v>
      </c>
      <c r="B2149">
        <v>-69239461</v>
      </c>
    </row>
    <row r="2150" spans="1:2" x14ac:dyDescent="0.25">
      <c r="A2150" t="s">
        <v>133</v>
      </c>
      <c r="B2150">
        <v>0</v>
      </c>
    </row>
    <row r="2151" spans="1:2" x14ac:dyDescent="0.25">
      <c r="A2151" t="s">
        <v>134</v>
      </c>
      <c r="B2151">
        <v>96677155</v>
      </c>
    </row>
    <row r="2152" spans="1:2" x14ac:dyDescent="0.25">
      <c r="A2152" t="s">
        <v>135</v>
      </c>
      <c r="B2152">
        <v>27437694</v>
      </c>
    </row>
    <row r="3001" spans="1:2" x14ac:dyDescent="0.25">
      <c r="A3001" t="s">
        <v>0</v>
      </c>
      <c r="B3001" t="s">
        <v>154</v>
      </c>
    </row>
    <row r="3002" spans="1:2" x14ac:dyDescent="0.25">
      <c r="A3002" t="s">
        <v>1</v>
      </c>
    </row>
    <row r="3003" spans="1:2" x14ac:dyDescent="0.25">
      <c r="A3003" t="s">
        <v>2</v>
      </c>
      <c r="B3003">
        <v>283019861</v>
      </c>
    </row>
    <row r="3004" spans="1:2" x14ac:dyDescent="0.25">
      <c r="A3004" t="s">
        <v>3</v>
      </c>
      <c r="B3004">
        <v>31570908</v>
      </c>
    </row>
    <row r="3005" spans="1:2" x14ac:dyDescent="0.25">
      <c r="A3005" t="s">
        <v>4</v>
      </c>
      <c r="B3005">
        <v>250858196</v>
      </c>
    </row>
    <row r="3006" spans="1:2" x14ac:dyDescent="0.25">
      <c r="A3006" t="s">
        <v>5</v>
      </c>
      <c r="B3006">
        <v>0</v>
      </c>
    </row>
    <row r="3007" spans="1:2" x14ac:dyDescent="0.25">
      <c r="A3007" t="s">
        <v>6</v>
      </c>
      <c r="B3007">
        <v>0</v>
      </c>
    </row>
    <row r="3008" spans="1:2" x14ac:dyDescent="0.25">
      <c r="A3008" t="s">
        <v>7</v>
      </c>
      <c r="B3008">
        <v>2877</v>
      </c>
    </row>
    <row r="3009" spans="1:2" x14ac:dyDescent="0.25">
      <c r="A3009" t="s">
        <v>8</v>
      </c>
      <c r="B3009">
        <v>0</v>
      </c>
    </row>
    <row r="3010" spans="1:2" x14ac:dyDescent="0.25">
      <c r="A3010" t="s">
        <v>9</v>
      </c>
      <c r="B3010">
        <v>0</v>
      </c>
    </row>
    <row r="3011" spans="1:2" x14ac:dyDescent="0.25">
      <c r="A3011" t="s">
        <v>10</v>
      </c>
      <c r="B3011">
        <v>0</v>
      </c>
    </row>
    <row r="3012" spans="1:2" x14ac:dyDescent="0.25">
      <c r="A3012" t="s">
        <v>11</v>
      </c>
      <c r="B3012">
        <v>587880</v>
      </c>
    </row>
    <row r="3013" spans="1:2" x14ac:dyDescent="0.25">
      <c r="A3013" t="s">
        <v>12</v>
      </c>
      <c r="B3013">
        <v>283019861</v>
      </c>
    </row>
    <row r="3014" spans="1:2" x14ac:dyDescent="0.25">
      <c r="A3014" t="s">
        <v>13</v>
      </c>
      <c r="B3014">
        <v>0</v>
      </c>
    </row>
    <row r="3015" spans="1:2" x14ac:dyDescent="0.25">
      <c r="A3015" t="s">
        <v>14</v>
      </c>
      <c r="B3015">
        <v>176364</v>
      </c>
    </row>
    <row r="3016" spans="1:2" x14ac:dyDescent="0.25">
      <c r="A3016" t="s">
        <v>5</v>
      </c>
      <c r="B3016">
        <v>0</v>
      </c>
    </row>
    <row r="3017" spans="1:2" x14ac:dyDescent="0.25">
      <c r="A3017" t="s">
        <v>6</v>
      </c>
      <c r="B3017">
        <v>0</v>
      </c>
    </row>
    <row r="3018" spans="1:2" x14ac:dyDescent="0.25">
      <c r="A3018" t="s">
        <v>7</v>
      </c>
      <c r="B3018">
        <v>0</v>
      </c>
    </row>
    <row r="3019" spans="1:2" x14ac:dyDescent="0.25">
      <c r="A3019" t="s">
        <v>8</v>
      </c>
      <c r="B3019">
        <v>0</v>
      </c>
    </row>
    <row r="3020" spans="1:2" x14ac:dyDescent="0.25">
      <c r="A3020" t="s">
        <v>4</v>
      </c>
      <c r="B3020">
        <v>0</v>
      </c>
    </row>
    <row r="3021" spans="1:2" x14ac:dyDescent="0.25">
      <c r="A3021" t="s">
        <v>15</v>
      </c>
      <c r="B3021">
        <v>0</v>
      </c>
    </row>
    <row r="3022" spans="1:2" x14ac:dyDescent="0.25">
      <c r="A3022" t="s">
        <v>10</v>
      </c>
      <c r="B3022">
        <v>0</v>
      </c>
    </row>
    <row r="3023" spans="1:2" x14ac:dyDescent="0.25">
      <c r="A3023" t="s">
        <v>16</v>
      </c>
      <c r="B3023">
        <v>0</v>
      </c>
    </row>
    <row r="3024" spans="1:2" x14ac:dyDescent="0.25">
      <c r="A3024" t="s">
        <v>9</v>
      </c>
      <c r="B3024">
        <v>0</v>
      </c>
    </row>
    <row r="3025" spans="1:2" x14ac:dyDescent="0.25">
      <c r="A3025" t="s">
        <v>17</v>
      </c>
      <c r="B3025">
        <v>0</v>
      </c>
    </row>
    <row r="3026" spans="1:2" x14ac:dyDescent="0.25">
      <c r="A3026" t="s">
        <v>18</v>
      </c>
      <c r="B3026">
        <v>176364</v>
      </c>
    </row>
    <row r="3027" spans="1:2" x14ac:dyDescent="0.25">
      <c r="A3027" t="s">
        <v>19</v>
      </c>
      <c r="B3027">
        <v>0</v>
      </c>
    </row>
    <row r="3028" spans="1:2" x14ac:dyDescent="0.25">
      <c r="A3028" t="s">
        <v>20</v>
      </c>
      <c r="B3028">
        <v>0</v>
      </c>
    </row>
    <row r="3029" spans="1:2" x14ac:dyDescent="0.25">
      <c r="A3029" t="s">
        <v>21</v>
      </c>
      <c r="B3029">
        <v>0</v>
      </c>
    </row>
    <row r="3030" spans="1:2" x14ac:dyDescent="0.25">
      <c r="A3030" t="s">
        <v>22</v>
      </c>
      <c r="B3030">
        <v>0</v>
      </c>
    </row>
    <row r="3031" spans="1:2" x14ac:dyDescent="0.25">
      <c r="A3031" t="s">
        <v>23</v>
      </c>
      <c r="B3031">
        <v>283196225</v>
      </c>
    </row>
    <row r="3032" spans="1:2" x14ac:dyDescent="0.25">
      <c r="A3032" t="s">
        <v>24</v>
      </c>
      <c r="B3032">
        <v>0</v>
      </c>
    </row>
    <row r="3033" spans="1:2" x14ac:dyDescent="0.25">
      <c r="A3033" t="s">
        <v>25</v>
      </c>
      <c r="B3033">
        <v>1516159</v>
      </c>
    </row>
    <row r="3034" spans="1:2" x14ac:dyDescent="0.25">
      <c r="A3034" t="s">
        <v>26</v>
      </c>
      <c r="B3034">
        <v>0</v>
      </c>
    </row>
    <row r="3035" spans="1:2" x14ac:dyDescent="0.25">
      <c r="A3035" t="s">
        <v>27</v>
      </c>
      <c r="B3035">
        <v>0</v>
      </c>
    </row>
    <row r="3036" spans="1:2" x14ac:dyDescent="0.25">
      <c r="A3036" t="s">
        <v>28</v>
      </c>
      <c r="B3036">
        <v>1241593</v>
      </c>
    </row>
    <row r="3037" spans="1:2" x14ac:dyDescent="0.25">
      <c r="A3037" t="s">
        <v>29</v>
      </c>
      <c r="B3037">
        <v>9221</v>
      </c>
    </row>
    <row r="3038" spans="1:2" x14ac:dyDescent="0.25">
      <c r="A3038" t="s">
        <v>30</v>
      </c>
      <c r="B3038">
        <v>0</v>
      </c>
    </row>
    <row r="3039" spans="1:2" x14ac:dyDescent="0.25">
      <c r="A3039" t="s">
        <v>31</v>
      </c>
      <c r="B3039">
        <v>0</v>
      </c>
    </row>
    <row r="3040" spans="1:2" x14ac:dyDescent="0.25">
      <c r="A3040" t="s">
        <v>32</v>
      </c>
      <c r="B3040">
        <v>0</v>
      </c>
    </row>
    <row r="3041" spans="1:2" x14ac:dyDescent="0.25">
      <c r="A3041" t="s">
        <v>33</v>
      </c>
      <c r="B3041">
        <v>0</v>
      </c>
    </row>
    <row r="3042" spans="1:2" x14ac:dyDescent="0.25">
      <c r="A3042" t="s">
        <v>34</v>
      </c>
      <c r="B3042">
        <v>0</v>
      </c>
    </row>
    <row r="3043" spans="1:2" x14ac:dyDescent="0.25">
      <c r="A3043" t="s">
        <v>35</v>
      </c>
      <c r="B3043">
        <v>169445</v>
      </c>
    </row>
    <row r="3044" spans="1:2" x14ac:dyDescent="0.25">
      <c r="A3044" t="s">
        <v>36</v>
      </c>
      <c r="B3044">
        <v>95900</v>
      </c>
    </row>
    <row r="3045" spans="1:2" x14ac:dyDescent="0.25">
      <c r="A3045" t="s">
        <v>12</v>
      </c>
      <c r="B3045">
        <v>1516159</v>
      </c>
    </row>
    <row r="3046" spans="1:2" x14ac:dyDescent="0.25">
      <c r="A3046" t="s">
        <v>37</v>
      </c>
      <c r="B3046">
        <v>0</v>
      </c>
    </row>
    <row r="3047" spans="1:2" x14ac:dyDescent="0.25">
      <c r="A3047" t="s">
        <v>38</v>
      </c>
      <c r="B3047">
        <v>590304</v>
      </c>
    </row>
    <row r="3048" spans="1:2" x14ac:dyDescent="0.25">
      <c r="A3048" t="s">
        <v>26</v>
      </c>
      <c r="B3048">
        <v>0</v>
      </c>
    </row>
    <row r="3049" spans="1:2" x14ac:dyDescent="0.25">
      <c r="A3049" t="s">
        <v>27</v>
      </c>
      <c r="B3049">
        <v>0</v>
      </c>
    </row>
    <row r="3050" spans="1:2" x14ac:dyDescent="0.25">
      <c r="A3050" t="s">
        <v>28</v>
      </c>
      <c r="B3050">
        <v>0</v>
      </c>
    </row>
    <row r="3051" spans="1:2" x14ac:dyDescent="0.25">
      <c r="A3051" t="s">
        <v>29</v>
      </c>
      <c r="B3051">
        <v>0</v>
      </c>
    </row>
    <row r="3052" spans="1:2" x14ac:dyDescent="0.25">
      <c r="A3052" t="s">
        <v>39</v>
      </c>
      <c r="B3052">
        <v>0</v>
      </c>
    </row>
    <row r="3053" spans="1:2" x14ac:dyDescent="0.25">
      <c r="A3053" t="s">
        <v>31</v>
      </c>
      <c r="B3053">
        <v>0</v>
      </c>
    </row>
    <row r="3054" spans="1:2" x14ac:dyDescent="0.25">
      <c r="A3054" t="s">
        <v>32</v>
      </c>
      <c r="B3054">
        <v>0</v>
      </c>
    </row>
    <row r="3055" spans="1:2" x14ac:dyDescent="0.25">
      <c r="A3055" t="s">
        <v>40</v>
      </c>
      <c r="B3055">
        <v>0</v>
      </c>
    </row>
    <row r="3056" spans="1:2" x14ac:dyDescent="0.25">
      <c r="A3056" t="s">
        <v>41</v>
      </c>
      <c r="B3056">
        <v>590304</v>
      </c>
    </row>
    <row r="3057" spans="1:2" x14ac:dyDescent="0.25">
      <c r="A3057" t="s">
        <v>42</v>
      </c>
      <c r="B3057">
        <v>0</v>
      </c>
    </row>
    <row r="3058" spans="1:2" x14ac:dyDescent="0.25">
      <c r="A3058" t="s">
        <v>43</v>
      </c>
      <c r="B3058">
        <v>0</v>
      </c>
    </row>
    <row r="3059" spans="1:2" x14ac:dyDescent="0.25">
      <c r="A3059" t="s">
        <v>44</v>
      </c>
      <c r="B3059">
        <v>0</v>
      </c>
    </row>
    <row r="3060" spans="1:2" x14ac:dyDescent="0.25">
      <c r="A3060" t="s">
        <v>45</v>
      </c>
      <c r="B3060">
        <v>281089762</v>
      </c>
    </row>
    <row r="3061" spans="1:2" x14ac:dyDescent="0.25">
      <c r="A3061" t="s">
        <v>46</v>
      </c>
      <c r="B3061">
        <v>281089762</v>
      </c>
    </row>
    <row r="3062" spans="1:2" x14ac:dyDescent="0.25">
      <c r="A3062" t="s">
        <v>47</v>
      </c>
      <c r="B3062">
        <v>42000000</v>
      </c>
    </row>
    <row r="3063" spans="1:2" x14ac:dyDescent="0.25">
      <c r="A3063" t="s">
        <v>48</v>
      </c>
      <c r="B3063">
        <v>0</v>
      </c>
    </row>
    <row r="3064" spans="1:2" x14ac:dyDescent="0.25">
      <c r="A3064" t="s">
        <v>49</v>
      </c>
      <c r="B3064">
        <v>2475242</v>
      </c>
    </row>
    <row r="3065" spans="1:2" x14ac:dyDescent="0.25">
      <c r="A3065" t="s">
        <v>50</v>
      </c>
      <c r="B3065">
        <v>0</v>
      </c>
    </row>
    <row r="3066" spans="1:2" x14ac:dyDescent="0.25">
      <c r="A3066" t="s">
        <v>51</v>
      </c>
      <c r="B3066">
        <v>0</v>
      </c>
    </row>
    <row r="3067" spans="1:2" x14ac:dyDescent="0.25">
      <c r="A3067" t="s">
        <v>52</v>
      </c>
      <c r="B3067">
        <v>29554554</v>
      </c>
    </row>
    <row r="3068" spans="1:2" x14ac:dyDescent="0.25">
      <c r="A3068" t="s">
        <v>53</v>
      </c>
      <c r="B3068">
        <v>-146115939</v>
      </c>
    </row>
    <row r="3069" spans="1:2" x14ac:dyDescent="0.25">
      <c r="A3069" t="s">
        <v>54</v>
      </c>
      <c r="B3069">
        <v>-69281706</v>
      </c>
    </row>
    <row r="3070" spans="1:2" x14ac:dyDescent="0.25">
      <c r="A3070" t="s">
        <v>55</v>
      </c>
      <c r="B3070">
        <v>422457611</v>
      </c>
    </row>
    <row r="3071" spans="1:2" x14ac:dyDescent="0.25">
      <c r="A3071" t="s">
        <v>56</v>
      </c>
      <c r="B3071">
        <v>0</v>
      </c>
    </row>
    <row r="3072" spans="1:2" x14ac:dyDescent="0.25">
      <c r="A3072" t="s">
        <v>57</v>
      </c>
      <c r="B3072">
        <v>283196225</v>
      </c>
    </row>
    <row r="3073" spans="1:2" x14ac:dyDescent="0.25">
      <c r="A3073" t="s">
        <v>58</v>
      </c>
    </row>
    <row r="3074" spans="1:2" x14ac:dyDescent="0.25">
      <c r="A3074" t="s">
        <v>59</v>
      </c>
      <c r="B3074">
        <v>0</v>
      </c>
    </row>
    <row r="3075" spans="1:2" x14ac:dyDescent="0.25">
      <c r="A3075" t="s">
        <v>60</v>
      </c>
      <c r="B3075">
        <v>4875076791</v>
      </c>
    </row>
    <row r="3076" spans="1:2" x14ac:dyDescent="0.25">
      <c r="A3076" t="s">
        <v>61</v>
      </c>
      <c r="B3076">
        <v>-4791014716</v>
      </c>
    </row>
    <row r="3077" spans="1:2" x14ac:dyDescent="0.25">
      <c r="A3077" t="s">
        <v>62</v>
      </c>
      <c r="B3077">
        <v>0</v>
      </c>
    </row>
    <row r="3078" spans="1:2" x14ac:dyDescent="0.25">
      <c r="A3078" t="s">
        <v>63</v>
      </c>
      <c r="B3078">
        <v>84062075</v>
      </c>
    </row>
    <row r="3079" spans="1:2" x14ac:dyDescent="0.25">
      <c r="A3079" t="s">
        <v>64</v>
      </c>
      <c r="B3079">
        <v>0</v>
      </c>
    </row>
    <row r="3080" spans="1:2" x14ac:dyDescent="0.25">
      <c r="A3080" t="s">
        <v>65</v>
      </c>
      <c r="B3080">
        <v>0</v>
      </c>
    </row>
    <row r="3081" spans="1:2" x14ac:dyDescent="0.25">
      <c r="A3081" t="s">
        <v>66</v>
      </c>
      <c r="B3081">
        <v>0</v>
      </c>
    </row>
    <row r="3082" spans="1:2" x14ac:dyDescent="0.25">
      <c r="A3082" t="s">
        <v>67</v>
      </c>
      <c r="B3082">
        <v>0</v>
      </c>
    </row>
    <row r="3083" spans="1:2" x14ac:dyDescent="0.25">
      <c r="A3083" t="s">
        <v>68</v>
      </c>
      <c r="B3083">
        <v>0</v>
      </c>
    </row>
    <row r="3084" spans="1:2" x14ac:dyDescent="0.25">
      <c r="A3084" t="s">
        <v>69</v>
      </c>
      <c r="B3084">
        <v>84062075</v>
      </c>
    </row>
    <row r="3085" spans="1:2" x14ac:dyDescent="0.25">
      <c r="A3085" t="s">
        <v>70</v>
      </c>
      <c r="B3085">
        <v>0</v>
      </c>
    </row>
    <row r="3086" spans="1:2" x14ac:dyDescent="0.25">
      <c r="A3086" t="s">
        <v>71</v>
      </c>
      <c r="B3086">
        <v>-5564194</v>
      </c>
    </row>
    <row r="3087" spans="1:2" x14ac:dyDescent="0.25">
      <c r="A3087" t="s">
        <v>72</v>
      </c>
      <c r="B3087">
        <v>0</v>
      </c>
    </row>
    <row r="3088" spans="1:2" x14ac:dyDescent="0.25">
      <c r="A3088" t="s">
        <v>73</v>
      </c>
      <c r="B3088">
        <v>92049</v>
      </c>
    </row>
    <row r="3089" spans="1:2" x14ac:dyDescent="0.25">
      <c r="A3089" t="s">
        <v>74</v>
      </c>
      <c r="B3089">
        <v>0</v>
      </c>
    </row>
    <row r="3090" spans="1:2" x14ac:dyDescent="0.25">
      <c r="A3090" t="s">
        <v>75</v>
      </c>
      <c r="B3090">
        <v>0</v>
      </c>
    </row>
    <row r="3091" spans="1:2" x14ac:dyDescent="0.25">
      <c r="A3091" t="s">
        <v>76</v>
      </c>
      <c r="B3091">
        <v>78589930</v>
      </c>
    </row>
    <row r="3092" spans="1:2" x14ac:dyDescent="0.25">
      <c r="A3092" t="s">
        <v>77</v>
      </c>
      <c r="B3092">
        <v>78497881</v>
      </c>
    </row>
    <row r="3093" spans="1:2" x14ac:dyDescent="0.25">
      <c r="A3093" t="s">
        <v>78</v>
      </c>
      <c r="B3093">
        <v>0</v>
      </c>
    </row>
    <row r="3094" spans="1:2" x14ac:dyDescent="0.25">
      <c r="A3094" t="s">
        <v>79</v>
      </c>
      <c r="B3094">
        <v>0</v>
      </c>
    </row>
    <row r="3095" spans="1:2" x14ac:dyDescent="0.25">
      <c r="A3095" t="s">
        <v>68</v>
      </c>
      <c r="B3095">
        <v>0</v>
      </c>
    </row>
    <row r="3096" spans="1:2" x14ac:dyDescent="0.25">
      <c r="A3096" t="s">
        <v>80</v>
      </c>
      <c r="B3096">
        <v>0</v>
      </c>
    </row>
    <row r="3097" spans="1:2" x14ac:dyDescent="0.25">
      <c r="A3097" t="s">
        <v>81</v>
      </c>
      <c r="B3097">
        <v>78589930</v>
      </c>
    </row>
    <row r="3098" spans="1:2" x14ac:dyDescent="0.25">
      <c r="A3098" t="s">
        <v>82</v>
      </c>
      <c r="B3098">
        <v>0</v>
      </c>
    </row>
    <row r="3099" spans="1:2" x14ac:dyDescent="0.25">
      <c r="A3099" t="s">
        <v>83</v>
      </c>
      <c r="B3099">
        <v>-138801383</v>
      </c>
    </row>
    <row r="3100" spans="1:2" x14ac:dyDescent="0.25">
      <c r="A3100" t="s">
        <v>84</v>
      </c>
      <c r="B3100">
        <v>0</v>
      </c>
    </row>
    <row r="3101" spans="1:2" x14ac:dyDescent="0.25">
      <c r="A3101" t="s">
        <v>85</v>
      </c>
      <c r="B3101">
        <v>-60211453</v>
      </c>
    </row>
    <row r="3102" spans="1:2" x14ac:dyDescent="0.25">
      <c r="A3102" t="s">
        <v>86</v>
      </c>
      <c r="B3102">
        <v>0</v>
      </c>
    </row>
    <row r="3103" spans="1:2" x14ac:dyDescent="0.25">
      <c r="A3103" t="s">
        <v>87</v>
      </c>
      <c r="B3103">
        <v>0</v>
      </c>
    </row>
    <row r="3104" spans="1:2" x14ac:dyDescent="0.25">
      <c r="A3104" t="s">
        <v>88</v>
      </c>
      <c r="B3104">
        <v>0</v>
      </c>
    </row>
    <row r="3105" spans="1:2" x14ac:dyDescent="0.25">
      <c r="A3105" t="s">
        <v>89</v>
      </c>
      <c r="B3105">
        <v>0</v>
      </c>
    </row>
    <row r="3106" spans="1:2" x14ac:dyDescent="0.25">
      <c r="A3106" t="s">
        <v>90</v>
      </c>
      <c r="B3106">
        <v>-60211453</v>
      </c>
    </row>
    <row r="3107" spans="1:2" x14ac:dyDescent="0.25">
      <c r="A3107" t="s">
        <v>91</v>
      </c>
      <c r="B3107">
        <v>0</v>
      </c>
    </row>
    <row r="3108" spans="1:2" x14ac:dyDescent="0.25">
      <c r="A3108" t="s">
        <v>92</v>
      </c>
      <c r="B3108">
        <v>0</v>
      </c>
    </row>
    <row r="3109" spans="1:2" x14ac:dyDescent="0.25">
      <c r="A3109" t="s">
        <v>93</v>
      </c>
      <c r="B3109">
        <v>-60211453</v>
      </c>
    </row>
    <row r="3110" spans="1:2" x14ac:dyDescent="0.25">
      <c r="A3110" t="s">
        <v>94</v>
      </c>
      <c r="B3110">
        <v>0</v>
      </c>
    </row>
    <row r="3111" spans="1:2" x14ac:dyDescent="0.25">
      <c r="A3111" t="s">
        <v>56</v>
      </c>
      <c r="B3111">
        <v>0</v>
      </c>
    </row>
    <row r="3112" spans="1:2" x14ac:dyDescent="0.25">
      <c r="A3112" t="s">
        <v>95</v>
      </c>
      <c r="B3112">
        <v>-60211453</v>
      </c>
    </row>
    <row r="3113" spans="1:2" x14ac:dyDescent="0.25">
      <c r="A3113" t="s">
        <v>96</v>
      </c>
      <c r="B3113">
        <v>-1</v>
      </c>
    </row>
    <row r="3114" spans="1:2" x14ac:dyDescent="0.25">
      <c r="A3114" t="s">
        <v>97</v>
      </c>
      <c r="B3114">
        <v>0</v>
      </c>
    </row>
    <row r="3115" spans="1:2" x14ac:dyDescent="0.25">
      <c r="A3115" t="s">
        <v>98</v>
      </c>
      <c r="B3115">
        <v>0</v>
      </c>
    </row>
    <row r="3116" spans="1:2" x14ac:dyDescent="0.25">
      <c r="A3116" t="s">
        <v>99</v>
      </c>
      <c r="B3116">
        <v>0</v>
      </c>
    </row>
    <row r="3117" spans="1:2" x14ac:dyDescent="0.25">
      <c r="A3117" t="s">
        <v>100</v>
      </c>
    </row>
    <row r="3118" spans="1:2" x14ac:dyDescent="0.25">
      <c r="A3118" t="s">
        <v>101</v>
      </c>
      <c r="B3118">
        <v>79304</v>
      </c>
    </row>
    <row r="3119" spans="1:2" x14ac:dyDescent="0.25">
      <c r="A3119" t="s">
        <v>102</v>
      </c>
      <c r="B3119">
        <v>48256</v>
      </c>
    </row>
    <row r="3120" spans="1:2" x14ac:dyDescent="0.25">
      <c r="A3120" t="s">
        <v>103</v>
      </c>
      <c r="B3120">
        <v>-138801383</v>
      </c>
    </row>
    <row r="3121" spans="1:2" x14ac:dyDescent="0.25">
      <c r="A3121" t="s">
        <v>104</v>
      </c>
      <c r="B3121">
        <v>0</v>
      </c>
    </row>
    <row r="3122" spans="1:2" x14ac:dyDescent="0.25">
      <c r="A3122" t="s">
        <v>105</v>
      </c>
      <c r="B3122">
        <v>0</v>
      </c>
    </row>
    <row r="3123" spans="1:2" x14ac:dyDescent="0.25">
      <c r="A3123" t="s">
        <v>106</v>
      </c>
      <c r="B3123">
        <v>0</v>
      </c>
    </row>
    <row r="3124" spans="1:2" x14ac:dyDescent="0.25">
      <c r="A3124" t="s">
        <v>107</v>
      </c>
      <c r="B3124">
        <v>0</v>
      </c>
    </row>
    <row r="3125" spans="1:2" x14ac:dyDescent="0.25">
      <c r="A3125" t="s">
        <v>108</v>
      </c>
      <c r="B3125">
        <v>0</v>
      </c>
    </row>
    <row r="3126" spans="1:2" x14ac:dyDescent="0.25">
      <c r="A3126" t="s">
        <v>109</v>
      </c>
    </row>
    <row r="3127" spans="1:2" x14ac:dyDescent="0.25">
      <c r="A3127" t="s">
        <v>110</v>
      </c>
      <c r="B3127">
        <v>12172888</v>
      </c>
    </row>
    <row r="3128" spans="1:2" x14ac:dyDescent="0.25">
      <c r="A3128" t="s">
        <v>111</v>
      </c>
      <c r="B3128">
        <v>-60211453</v>
      </c>
    </row>
    <row r="3129" spans="1:2" x14ac:dyDescent="0.25">
      <c r="A3129" t="s">
        <v>112</v>
      </c>
      <c r="B3129">
        <v>112721897</v>
      </c>
    </row>
    <row r="3130" spans="1:2" x14ac:dyDescent="0.25">
      <c r="A3130" t="s">
        <v>113</v>
      </c>
      <c r="B3130">
        <v>79304</v>
      </c>
    </row>
    <row r="3131" spans="1:2" x14ac:dyDescent="0.25">
      <c r="A3131" t="s">
        <v>114</v>
      </c>
      <c r="B3131">
        <v>145596</v>
      </c>
    </row>
    <row r="3132" spans="1:2" x14ac:dyDescent="0.25">
      <c r="A3132" t="s">
        <v>115</v>
      </c>
      <c r="B3132">
        <v>112496997</v>
      </c>
    </row>
    <row r="3133" spans="1:2" x14ac:dyDescent="0.25">
      <c r="A3133" t="s">
        <v>116</v>
      </c>
      <c r="B3133">
        <v>52510444</v>
      </c>
    </row>
    <row r="3134" spans="1:2" x14ac:dyDescent="0.25">
      <c r="A3134" t="s">
        <v>117</v>
      </c>
      <c r="B3134">
        <v>-40337556</v>
      </c>
    </row>
    <row r="3135" spans="1:2" x14ac:dyDescent="0.25">
      <c r="A3135" t="s">
        <v>118</v>
      </c>
      <c r="B3135">
        <v>12172888</v>
      </c>
    </row>
    <row r="3136" spans="1:2" x14ac:dyDescent="0.25">
      <c r="A3136" t="s">
        <v>119</v>
      </c>
      <c r="B3136">
        <v>0</v>
      </c>
    </row>
    <row r="3137" spans="1:2" x14ac:dyDescent="0.25">
      <c r="A3137" t="s">
        <v>120</v>
      </c>
      <c r="B3137">
        <v>0</v>
      </c>
    </row>
    <row r="3138" spans="1:2" x14ac:dyDescent="0.25">
      <c r="A3138" t="s">
        <v>121</v>
      </c>
      <c r="B3138">
        <v>-17284803</v>
      </c>
    </row>
    <row r="3139" spans="1:2" x14ac:dyDescent="0.25">
      <c r="A3139" t="s">
        <v>122</v>
      </c>
      <c r="B3139">
        <v>-17284803</v>
      </c>
    </row>
    <row r="3140" spans="1:2" x14ac:dyDescent="0.25">
      <c r="A3140" t="s">
        <v>123</v>
      </c>
      <c r="B3140">
        <v>-5111915</v>
      </c>
    </row>
    <row r="3141" spans="1:2" x14ac:dyDescent="0.25">
      <c r="A3141" t="s">
        <v>124</v>
      </c>
      <c r="B3141">
        <v>0</v>
      </c>
    </row>
    <row r="3142" spans="1:2" x14ac:dyDescent="0.25">
      <c r="A3142" t="s">
        <v>125</v>
      </c>
      <c r="B3142">
        <v>-26123326</v>
      </c>
    </row>
    <row r="3143" spans="1:2" x14ac:dyDescent="0.25">
      <c r="A3143" t="s">
        <v>126</v>
      </c>
      <c r="B3143">
        <v>0</v>
      </c>
    </row>
    <row r="3144" spans="1:2" x14ac:dyDescent="0.25">
      <c r="A3144" t="s">
        <v>127</v>
      </c>
      <c r="B3144">
        <v>0</v>
      </c>
    </row>
    <row r="3145" spans="1:2" x14ac:dyDescent="0.25">
      <c r="A3145" t="s">
        <v>128</v>
      </c>
      <c r="B3145">
        <v>-26123326</v>
      </c>
    </row>
    <row r="3146" spans="1:2" x14ac:dyDescent="0.25">
      <c r="A3146" t="s">
        <v>129</v>
      </c>
      <c r="B3146">
        <v>-31235241</v>
      </c>
    </row>
    <row r="3147" spans="1:2" x14ac:dyDescent="0.25">
      <c r="A3147" t="s">
        <v>130</v>
      </c>
      <c r="B3147">
        <v>-38004220</v>
      </c>
    </row>
    <row r="3148" spans="1:2" x14ac:dyDescent="0.25">
      <c r="A3148" t="s">
        <v>131</v>
      </c>
      <c r="B3148">
        <v>0</v>
      </c>
    </row>
    <row r="3149" spans="1:2" x14ac:dyDescent="0.25">
      <c r="A3149" t="s">
        <v>132</v>
      </c>
      <c r="B3149">
        <v>-69239461</v>
      </c>
    </row>
    <row r="3150" spans="1:2" x14ac:dyDescent="0.25">
      <c r="A3150" t="s">
        <v>133</v>
      </c>
      <c r="B3150">
        <v>0</v>
      </c>
    </row>
    <row r="3151" spans="1:2" x14ac:dyDescent="0.25">
      <c r="A3151" t="s">
        <v>134</v>
      </c>
      <c r="B3151">
        <v>96677155</v>
      </c>
    </row>
    <row r="3152" spans="1:2" x14ac:dyDescent="0.25">
      <c r="A3152" t="s">
        <v>135</v>
      </c>
      <c r="B3152">
        <v>27437694</v>
      </c>
    </row>
    <row r="4001" spans="1:2" x14ac:dyDescent="0.25">
      <c r="A4001" t="s">
        <v>0</v>
      </c>
      <c r="B4001" t="s">
        <v>154</v>
      </c>
    </row>
    <row r="4002" spans="1:2" x14ac:dyDescent="0.25">
      <c r="A4002" t="s">
        <v>1</v>
      </c>
    </row>
    <row r="4003" spans="1:2" x14ac:dyDescent="0.25">
      <c r="A4003" t="s">
        <v>2</v>
      </c>
      <c r="B4003">
        <v>283019861</v>
      </c>
    </row>
    <row r="4004" spans="1:2" x14ac:dyDescent="0.25">
      <c r="A4004" t="s">
        <v>3</v>
      </c>
      <c r="B4004">
        <v>31570908</v>
      </c>
    </row>
    <row r="4005" spans="1:2" x14ac:dyDescent="0.25">
      <c r="A4005" t="s">
        <v>4</v>
      </c>
      <c r="B4005">
        <v>250858196</v>
      </c>
    </row>
    <row r="4006" spans="1:2" x14ac:dyDescent="0.25">
      <c r="A4006" t="s">
        <v>5</v>
      </c>
      <c r="B4006">
        <v>0</v>
      </c>
    </row>
    <row r="4007" spans="1:2" x14ac:dyDescent="0.25">
      <c r="A4007" t="s">
        <v>6</v>
      </c>
      <c r="B4007">
        <v>0</v>
      </c>
    </row>
    <row r="4008" spans="1:2" x14ac:dyDescent="0.25">
      <c r="A4008" t="s">
        <v>7</v>
      </c>
      <c r="B4008">
        <v>2877</v>
      </c>
    </row>
    <row r="4009" spans="1:2" x14ac:dyDescent="0.25">
      <c r="A4009" t="s">
        <v>8</v>
      </c>
      <c r="B4009">
        <v>0</v>
      </c>
    </row>
    <row r="4010" spans="1:2" x14ac:dyDescent="0.25">
      <c r="A4010" t="s">
        <v>9</v>
      </c>
      <c r="B4010">
        <v>0</v>
      </c>
    </row>
    <row r="4011" spans="1:2" x14ac:dyDescent="0.25">
      <c r="A4011" t="s">
        <v>10</v>
      </c>
      <c r="B4011">
        <v>0</v>
      </c>
    </row>
    <row r="4012" spans="1:2" x14ac:dyDescent="0.25">
      <c r="A4012" t="s">
        <v>11</v>
      </c>
      <c r="B4012">
        <v>587880</v>
      </c>
    </row>
    <row r="4013" spans="1:2" x14ac:dyDescent="0.25">
      <c r="A4013" t="s">
        <v>12</v>
      </c>
      <c r="B4013">
        <v>283019861</v>
      </c>
    </row>
    <row r="4014" spans="1:2" x14ac:dyDescent="0.25">
      <c r="A4014" t="s">
        <v>13</v>
      </c>
      <c r="B4014">
        <v>0</v>
      </c>
    </row>
    <row r="4015" spans="1:2" x14ac:dyDescent="0.25">
      <c r="A4015" t="s">
        <v>14</v>
      </c>
      <c r="B4015">
        <v>176364</v>
      </c>
    </row>
    <row r="4016" spans="1:2" x14ac:dyDescent="0.25">
      <c r="A4016" t="s">
        <v>5</v>
      </c>
      <c r="B4016">
        <v>0</v>
      </c>
    </row>
    <row r="4017" spans="1:2" x14ac:dyDescent="0.25">
      <c r="A4017" t="s">
        <v>6</v>
      </c>
      <c r="B4017">
        <v>0</v>
      </c>
    </row>
    <row r="4018" spans="1:2" x14ac:dyDescent="0.25">
      <c r="A4018" t="s">
        <v>7</v>
      </c>
      <c r="B4018">
        <v>0</v>
      </c>
    </row>
    <row r="4019" spans="1:2" x14ac:dyDescent="0.25">
      <c r="A4019" t="s">
        <v>8</v>
      </c>
      <c r="B4019">
        <v>0</v>
      </c>
    </row>
    <row r="4020" spans="1:2" x14ac:dyDescent="0.25">
      <c r="A4020" t="s">
        <v>4</v>
      </c>
      <c r="B4020">
        <v>0</v>
      </c>
    </row>
    <row r="4021" spans="1:2" x14ac:dyDescent="0.25">
      <c r="A4021" t="s">
        <v>15</v>
      </c>
      <c r="B4021">
        <v>0</v>
      </c>
    </row>
    <row r="4022" spans="1:2" x14ac:dyDescent="0.25">
      <c r="A4022" t="s">
        <v>10</v>
      </c>
      <c r="B4022">
        <v>0</v>
      </c>
    </row>
    <row r="4023" spans="1:2" x14ac:dyDescent="0.25">
      <c r="A4023" t="s">
        <v>16</v>
      </c>
      <c r="B4023">
        <v>0</v>
      </c>
    </row>
    <row r="4024" spans="1:2" x14ac:dyDescent="0.25">
      <c r="A4024" t="s">
        <v>9</v>
      </c>
      <c r="B4024">
        <v>0</v>
      </c>
    </row>
    <row r="4025" spans="1:2" x14ac:dyDescent="0.25">
      <c r="A4025" t="s">
        <v>17</v>
      </c>
      <c r="B4025">
        <v>0</v>
      </c>
    </row>
    <row r="4026" spans="1:2" x14ac:dyDescent="0.25">
      <c r="A4026" t="s">
        <v>18</v>
      </c>
      <c r="B4026">
        <v>176364</v>
      </c>
    </row>
    <row r="4027" spans="1:2" x14ac:dyDescent="0.25">
      <c r="A4027" t="s">
        <v>19</v>
      </c>
      <c r="B4027">
        <v>0</v>
      </c>
    </row>
    <row r="4028" spans="1:2" x14ac:dyDescent="0.25">
      <c r="A4028" t="s">
        <v>20</v>
      </c>
      <c r="B4028">
        <v>0</v>
      </c>
    </row>
    <row r="4029" spans="1:2" x14ac:dyDescent="0.25">
      <c r="A4029" t="s">
        <v>21</v>
      </c>
      <c r="B4029">
        <v>0</v>
      </c>
    </row>
    <row r="4030" spans="1:2" x14ac:dyDescent="0.25">
      <c r="A4030" t="s">
        <v>22</v>
      </c>
      <c r="B4030">
        <v>0</v>
      </c>
    </row>
    <row r="4031" spans="1:2" x14ac:dyDescent="0.25">
      <c r="A4031" t="s">
        <v>23</v>
      </c>
      <c r="B4031">
        <v>283196225</v>
      </c>
    </row>
    <row r="4032" spans="1:2" x14ac:dyDescent="0.25">
      <c r="A4032" t="s">
        <v>24</v>
      </c>
      <c r="B4032">
        <v>0</v>
      </c>
    </row>
    <row r="4033" spans="1:2" x14ac:dyDescent="0.25">
      <c r="A4033" t="s">
        <v>25</v>
      </c>
      <c r="B4033">
        <v>1516159</v>
      </c>
    </row>
    <row r="4034" spans="1:2" x14ac:dyDescent="0.25">
      <c r="A4034" t="s">
        <v>26</v>
      </c>
      <c r="B4034">
        <v>0</v>
      </c>
    </row>
    <row r="4035" spans="1:2" x14ac:dyDescent="0.25">
      <c r="A4035" t="s">
        <v>27</v>
      </c>
      <c r="B4035">
        <v>0</v>
      </c>
    </row>
    <row r="4036" spans="1:2" x14ac:dyDescent="0.25">
      <c r="A4036" t="s">
        <v>28</v>
      </c>
      <c r="B4036">
        <v>1241593</v>
      </c>
    </row>
    <row r="4037" spans="1:2" x14ac:dyDescent="0.25">
      <c r="A4037" t="s">
        <v>29</v>
      </c>
      <c r="B4037">
        <v>9221</v>
      </c>
    </row>
    <row r="4038" spans="1:2" x14ac:dyDescent="0.25">
      <c r="A4038" t="s">
        <v>30</v>
      </c>
      <c r="B4038">
        <v>0</v>
      </c>
    </row>
    <row r="4039" spans="1:2" x14ac:dyDescent="0.25">
      <c r="A4039" t="s">
        <v>31</v>
      </c>
      <c r="B4039">
        <v>0</v>
      </c>
    </row>
    <row r="4040" spans="1:2" x14ac:dyDescent="0.25">
      <c r="A4040" t="s">
        <v>32</v>
      </c>
      <c r="B4040">
        <v>0</v>
      </c>
    </row>
    <row r="4041" spans="1:2" x14ac:dyDescent="0.25">
      <c r="A4041" t="s">
        <v>33</v>
      </c>
      <c r="B4041">
        <v>0</v>
      </c>
    </row>
    <row r="4042" spans="1:2" x14ac:dyDescent="0.25">
      <c r="A4042" t="s">
        <v>34</v>
      </c>
      <c r="B4042">
        <v>0</v>
      </c>
    </row>
    <row r="4043" spans="1:2" x14ac:dyDescent="0.25">
      <c r="A4043" t="s">
        <v>35</v>
      </c>
      <c r="B4043">
        <v>169445</v>
      </c>
    </row>
    <row r="4044" spans="1:2" x14ac:dyDescent="0.25">
      <c r="A4044" t="s">
        <v>36</v>
      </c>
      <c r="B4044">
        <v>95900</v>
      </c>
    </row>
    <row r="4045" spans="1:2" x14ac:dyDescent="0.25">
      <c r="A4045" t="s">
        <v>12</v>
      </c>
      <c r="B4045">
        <v>1516159</v>
      </c>
    </row>
    <row r="4046" spans="1:2" x14ac:dyDescent="0.25">
      <c r="A4046" t="s">
        <v>37</v>
      </c>
      <c r="B4046">
        <v>0</v>
      </c>
    </row>
    <row r="4047" spans="1:2" x14ac:dyDescent="0.25">
      <c r="A4047" t="s">
        <v>38</v>
      </c>
      <c r="B4047">
        <v>590304</v>
      </c>
    </row>
    <row r="4048" spans="1:2" x14ac:dyDescent="0.25">
      <c r="A4048" t="s">
        <v>26</v>
      </c>
      <c r="B4048">
        <v>0</v>
      </c>
    </row>
    <row r="4049" spans="1:2" x14ac:dyDescent="0.25">
      <c r="A4049" t="s">
        <v>27</v>
      </c>
      <c r="B4049">
        <v>0</v>
      </c>
    </row>
    <row r="4050" spans="1:2" x14ac:dyDescent="0.25">
      <c r="A4050" t="s">
        <v>28</v>
      </c>
      <c r="B4050">
        <v>0</v>
      </c>
    </row>
    <row r="4051" spans="1:2" x14ac:dyDescent="0.25">
      <c r="A4051" t="s">
        <v>29</v>
      </c>
      <c r="B4051">
        <v>0</v>
      </c>
    </row>
    <row r="4052" spans="1:2" x14ac:dyDescent="0.25">
      <c r="A4052" t="s">
        <v>39</v>
      </c>
      <c r="B4052">
        <v>0</v>
      </c>
    </row>
    <row r="4053" spans="1:2" x14ac:dyDescent="0.25">
      <c r="A4053" t="s">
        <v>31</v>
      </c>
      <c r="B4053">
        <v>0</v>
      </c>
    </row>
    <row r="4054" spans="1:2" x14ac:dyDescent="0.25">
      <c r="A4054" t="s">
        <v>32</v>
      </c>
      <c r="B4054">
        <v>0</v>
      </c>
    </row>
    <row r="4055" spans="1:2" x14ac:dyDescent="0.25">
      <c r="A4055" t="s">
        <v>40</v>
      </c>
      <c r="B4055">
        <v>0</v>
      </c>
    </row>
    <row r="4056" spans="1:2" x14ac:dyDescent="0.25">
      <c r="A4056" t="s">
        <v>41</v>
      </c>
      <c r="B4056">
        <v>590304</v>
      </c>
    </row>
    <row r="4057" spans="1:2" x14ac:dyDescent="0.25">
      <c r="A4057" t="s">
        <v>42</v>
      </c>
      <c r="B4057">
        <v>0</v>
      </c>
    </row>
    <row r="4058" spans="1:2" x14ac:dyDescent="0.25">
      <c r="A4058" t="s">
        <v>43</v>
      </c>
      <c r="B4058">
        <v>0</v>
      </c>
    </row>
    <row r="4059" spans="1:2" x14ac:dyDescent="0.25">
      <c r="A4059" t="s">
        <v>44</v>
      </c>
      <c r="B4059">
        <v>0</v>
      </c>
    </row>
    <row r="4060" spans="1:2" x14ac:dyDescent="0.25">
      <c r="A4060" t="s">
        <v>45</v>
      </c>
      <c r="B4060">
        <v>281089762</v>
      </c>
    </row>
    <row r="4061" spans="1:2" x14ac:dyDescent="0.25">
      <c r="A4061" t="s">
        <v>46</v>
      </c>
      <c r="B4061">
        <v>281089762</v>
      </c>
    </row>
    <row r="4062" spans="1:2" x14ac:dyDescent="0.25">
      <c r="A4062" t="s">
        <v>47</v>
      </c>
      <c r="B4062">
        <v>42000000</v>
      </c>
    </row>
    <row r="4063" spans="1:2" x14ac:dyDescent="0.25">
      <c r="A4063" t="s">
        <v>48</v>
      </c>
      <c r="B4063">
        <v>0</v>
      </c>
    </row>
    <row r="4064" spans="1:2" x14ac:dyDescent="0.25">
      <c r="A4064" t="s">
        <v>49</v>
      </c>
      <c r="B4064">
        <v>2475242</v>
      </c>
    </row>
    <row r="4065" spans="1:2" x14ac:dyDescent="0.25">
      <c r="A4065" t="s">
        <v>50</v>
      </c>
      <c r="B4065">
        <v>0</v>
      </c>
    </row>
    <row r="4066" spans="1:2" x14ac:dyDescent="0.25">
      <c r="A4066" t="s">
        <v>51</v>
      </c>
      <c r="B4066">
        <v>0</v>
      </c>
    </row>
    <row r="4067" spans="1:2" x14ac:dyDescent="0.25">
      <c r="A4067" t="s">
        <v>52</v>
      </c>
      <c r="B4067">
        <v>29554554</v>
      </c>
    </row>
    <row r="4068" spans="1:2" x14ac:dyDescent="0.25">
      <c r="A4068" t="s">
        <v>53</v>
      </c>
      <c r="B4068">
        <v>-146115939</v>
      </c>
    </row>
    <row r="4069" spans="1:2" x14ac:dyDescent="0.25">
      <c r="A4069" t="s">
        <v>54</v>
      </c>
      <c r="B4069">
        <v>-69281706</v>
      </c>
    </row>
    <row r="4070" spans="1:2" x14ac:dyDescent="0.25">
      <c r="A4070" t="s">
        <v>55</v>
      </c>
      <c r="B4070">
        <v>422457611</v>
      </c>
    </row>
    <row r="4071" spans="1:2" x14ac:dyDescent="0.25">
      <c r="A4071" t="s">
        <v>56</v>
      </c>
      <c r="B4071">
        <v>0</v>
      </c>
    </row>
    <row r="4072" spans="1:2" x14ac:dyDescent="0.25">
      <c r="A4072" t="s">
        <v>57</v>
      </c>
      <c r="B4072">
        <v>283196225</v>
      </c>
    </row>
    <row r="4073" spans="1:2" x14ac:dyDescent="0.25">
      <c r="A4073" t="s">
        <v>58</v>
      </c>
    </row>
    <row r="4074" spans="1:2" x14ac:dyDescent="0.25">
      <c r="A4074" t="s">
        <v>59</v>
      </c>
      <c r="B4074">
        <v>0</v>
      </c>
    </row>
    <row r="4075" spans="1:2" x14ac:dyDescent="0.25">
      <c r="A4075" t="s">
        <v>60</v>
      </c>
      <c r="B4075">
        <v>4875076791</v>
      </c>
    </row>
    <row r="4076" spans="1:2" x14ac:dyDescent="0.25">
      <c r="A4076" t="s">
        <v>61</v>
      </c>
      <c r="B4076">
        <v>-4791014716</v>
      </c>
    </row>
    <row r="4077" spans="1:2" x14ac:dyDescent="0.25">
      <c r="A4077" t="s">
        <v>62</v>
      </c>
      <c r="B4077">
        <v>0</v>
      </c>
    </row>
    <row r="4078" spans="1:2" x14ac:dyDescent="0.25">
      <c r="A4078" t="s">
        <v>63</v>
      </c>
      <c r="B4078">
        <v>84062075</v>
      </c>
    </row>
    <row r="4079" spans="1:2" x14ac:dyDescent="0.25">
      <c r="A4079" t="s">
        <v>64</v>
      </c>
      <c r="B4079">
        <v>0</v>
      </c>
    </row>
    <row r="4080" spans="1:2" x14ac:dyDescent="0.25">
      <c r="A4080" t="s">
        <v>65</v>
      </c>
      <c r="B4080">
        <v>0</v>
      </c>
    </row>
    <row r="4081" spans="1:2" x14ac:dyDescent="0.25">
      <c r="A4081" t="s">
        <v>66</v>
      </c>
      <c r="B4081">
        <v>0</v>
      </c>
    </row>
    <row r="4082" spans="1:2" x14ac:dyDescent="0.25">
      <c r="A4082" t="s">
        <v>67</v>
      </c>
      <c r="B4082">
        <v>0</v>
      </c>
    </row>
    <row r="4083" spans="1:2" x14ac:dyDescent="0.25">
      <c r="A4083" t="s">
        <v>68</v>
      </c>
      <c r="B4083">
        <v>0</v>
      </c>
    </row>
    <row r="4084" spans="1:2" x14ac:dyDescent="0.25">
      <c r="A4084" t="s">
        <v>69</v>
      </c>
      <c r="B4084">
        <v>84062075</v>
      </c>
    </row>
    <row r="4085" spans="1:2" x14ac:dyDescent="0.25">
      <c r="A4085" t="s">
        <v>70</v>
      </c>
      <c r="B4085">
        <v>0</v>
      </c>
    </row>
    <row r="4086" spans="1:2" x14ac:dyDescent="0.25">
      <c r="A4086" t="s">
        <v>71</v>
      </c>
      <c r="B4086">
        <v>-5564194</v>
      </c>
    </row>
    <row r="4087" spans="1:2" x14ac:dyDescent="0.25">
      <c r="A4087" t="s">
        <v>72</v>
      </c>
      <c r="B4087">
        <v>0</v>
      </c>
    </row>
    <row r="4088" spans="1:2" x14ac:dyDescent="0.25">
      <c r="A4088" t="s">
        <v>73</v>
      </c>
      <c r="B4088">
        <v>92049</v>
      </c>
    </row>
    <row r="4089" spans="1:2" x14ac:dyDescent="0.25">
      <c r="A4089" t="s">
        <v>74</v>
      </c>
      <c r="B4089">
        <v>0</v>
      </c>
    </row>
    <row r="4090" spans="1:2" x14ac:dyDescent="0.25">
      <c r="A4090" t="s">
        <v>75</v>
      </c>
      <c r="B4090">
        <v>0</v>
      </c>
    </row>
    <row r="4091" spans="1:2" x14ac:dyDescent="0.25">
      <c r="A4091" t="s">
        <v>76</v>
      </c>
      <c r="B4091">
        <v>78589930</v>
      </c>
    </row>
    <row r="4092" spans="1:2" x14ac:dyDescent="0.25">
      <c r="A4092" t="s">
        <v>77</v>
      </c>
      <c r="B4092">
        <v>78497881</v>
      </c>
    </row>
    <row r="4093" spans="1:2" x14ac:dyDescent="0.25">
      <c r="A4093" t="s">
        <v>78</v>
      </c>
      <c r="B4093">
        <v>0</v>
      </c>
    </row>
    <row r="4094" spans="1:2" x14ac:dyDescent="0.25">
      <c r="A4094" t="s">
        <v>79</v>
      </c>
      <c r="B4094">
        <v>0</v>
      </c>
    </row>
    <row r="4095" spans="1:2" x14ac:dyDescent="0.25">
      <c r="A4095" t="s">
        <v>68</v>
      </c>
      <c r="B4095">
        <v>0</v>
      </c>
    </row>
    <row r="4096" spans="1:2" x14ac:dyDescent="0.25">
      <c r="A4096" t="s">
        <v>80</v>
      </c>
      <c r="B4096">
        <v>0</v>
      </c>
    </row>
    <row r="4097" spans="1:2" x14ac:dyDescent="0.25">
      <c r="A4097" t="s">
        <v>81</v>
      </c>
      <c r="B4097">
        <v>78589930</v>
      </c>
    </row>
    <row r="4098" spans="1:2" x14ac:dyDescent="0.25">
      <c r="A4098" t="s">
        <v>82</v>
      </c>
      <c r="B4098">
        <v>0</v>
      </c>
    </row>
    <row r="4099" spans="1:2" x14ac:dyDescent="0.25">
      <c r="A4099" t="s">
        <v>83</v>
      </c>
      <c r="B4099">
        <v>-138801383</v>
      </c>
    </row>
    <row r="4100" spans="1:2" x14ac:dyDescent="0.25">
      <c r="A4100" t="s">
        <v>84</v>
      </c>
      <c r="B4100">
        <v>0</v>
      </c>
    </row>
    <row r="4101" spans="1:2" x14ac:dyDescent="0.25">
      <c r="A4101" t="s">
        <v>85</v>
      </c>
      <c r="B4101">
        <v>-60211453</v>
      </c>
    </row>
    <row r="4102" spans="1:2" x14ac:dyDescent="0.25">
      <c r="A4102" t="s">
        <v>86</v>
      </c>
      <c r="B4102">
        <v>0</v>
      </c>
    </row>
    <row r="4103" spans="1:2" x14ac:dyDescent="0.25">
      <c r="A4103" t="s">
        <v>87</v>
      </c>
      <c r="B4103">
        <v>0</v>
      </c>
    </row>
    <row r="4104" spans="1:2" x14ac:dyDescent="0.25">
      <c r="A4104" t="s">
        <v>88</v>
      </c>
      <c r="B4104">
        <v>0</v>
      </c>
    </row>
    <row r="4105" spans="1:2" x14ac:dyDescent="0.25">
      <c r="A4105" t="s">
        <v>89</v>
      </c>
      <c r="B4105">
        <v>0</v>
      </c>
    </row>
    <row r="4106" spans="1:2" x14ac:dyDescent="0.25">
      <c r="A4106" t="s">
        <v>90</v>
      </c>
      <c r="B4106">
        <v>-60211453</v>
      </c>
    </row>
    <row r="4107" spans="1:2" x14ac:dyDescent="0.25">
      <c r="A4107" t="s">
        <v>91</v>
      </c>
      <c r="B4107">
        <v>0</v>
      </c>
    </row>
    <row r="4108" spans="1:2" x14ac:dyDescent="0.25">
      <c r="A4108" t="s">
        <v>92</v>
      </c>
      <c r="B4108">
        <v>0</v>
      </c>
    </row>
    <row r="4109" spans="1:2" x14ac:dyDescent="0.25">
      <c r="A4109" t="s">
        <v>93</v>
      </c>
      <c r="B4109">
        <v>-60211453</v>
      </c>
    </row>
    <row r="4110" spans="1:2" x14ac:dyDescent="0.25">
      <c r="A4110" t="s">
        <v>94</v>
      </c>
      <c r="B4110">
        <v>0</v>
      </c>
    </row>
    <row r="4111" spans="1:2" x14ac:dyDescent="0.25">
      <c r="A4111" t="s">
        <v>56</v>
      </c>
      <c r="B4111">
        <v>0</v>
      </c>
    </row>
    <row r="4112" spans="1:2" x14ac:dyDescent="0.25">
      <c r="A4112" t="s">
        <v>95</v>
      </c>
      <c r="B4112">
        <v>-60211453</v>
      </c>
    </row>
    <row r="4113" spans="1:2" x14ac:dyDescent="0.25">
      <c r="A4113" t="s">
        <v>96</v>
      </c>
      <c r="B4113">
        <v>-1</v>
      </c>
    </row>
    <row r="4114" spans="1:2" x14ac:dyDescent="0.25">
      <c r="A4114" t="s">
        <v>97</v>
      </c>
      <c r="B4114">
        <v>0</v>
      </c>
    </row>
    <row r="4115" spans="1:2" x14ac:dyDescent="0.25">
      <c r="A4115" t="s">
        <v>98</v>
      </c>
      <c r="B4115">
        <v>0</v>
      </c>
    </row>
    <row r="4116" spans="1:2" x14ac:dyDescent="0.25">
      <c r="A4116" t="s">
        <v>99</v>
      </c>
      <c r="B4116">
        <v>0</v>
      </c>
    </row>
    <row r="4117" spans="1:2" x14ac:dyDescent="0.25">
      <c r="A4117" t="s">
        <v>100</v>
      </c>
    </row>
    <row r="4118" spans="1:2" x14ac:dyDescent="0.25">
      <c r="A4118" t="s">
        <v>101</v>
      </c>
      <c r="B4118">
        <v>79304</v>
      </c>
    </row>
    <row r="4119" spans="1:2" x14ac:dyDescent="0.25">
      <c r="A4119" t="s">
        <v>102</v>
      </c>
      <c r="B4119">
        <v>48256</v>
      </c>
    </row>
    <row r="4120" spans="1:2" x14ac:dyDescent="0.25">
      <c r="A4120" t="s">
        <v>103</v>
      </c>
      <c r="B4120">
        <v>-138801383</v>
      </c>
    </row>
    <row r="4121" spans="1:2" x14ac:dyDescent="0.25">
      <c r="A4121" t="s">
        <v>104</v>
      </c>
      <c r="B4121">
        <v>0</v>
      </c>
    </row>
    <row r="4122" spans="1:2" x14ac:dyDescent="0.25">
      <c r="A4122" t="s">
        <v>105</v>
      </c>
      <c r="B4122">
        <v>0</v>
      </c>
    </row>
    <row r="4123" spans="1:2" x14ac:dyDescent="0.25">
      <c r="A4123" t="s">
        <v>106</v>
      </c>
      <c r="B4123">
        <v>0</v>
      </c>
    </row>
    <row r="4124" spans="1:2" x14ac:dyDescent="0.25">
      <c r="A4124" t="s">
        <v>107</v>
      </c>
      <c r="B4124">
        <v>0</v>
      </c>
    </row>
    <row r="4125" spans="1:2" x14ac:dyDescent="0.25">
      <c r="A4125" t="s">
        <v>108</v>
      </c>
      <c r="B4125">
        <v>0</v>
      </c>
    </row>
    <row r="4126" spans="1:2" x14ac:dyDescent="0.25">
      <c r="A4126" t="s">
        <v>109</v>
      </c>
    </row>
    <row r="4127" spans="1:2" x14ac:dyDescent="0.25">
      <c r="A4127" t="s">
        <v>110</v>
      </c>
      <c r="B4127">
        <v>12172888</v>
      </c>
    </row>
    <row r="4128" spans="1:2" x14ac:dyDescent="0.25">
      <c r="A4128" t="s">
        <v>111</v>
      </c>
      <c r="B4128">
        <v>-60211453</v>
      </c>
    </row>
    <row r="4129" spans="1:2" x14ac:dyDescent="0.25">
      <c r="A4129" t="s">
        <v>112</v>
      </c>
      <c r="B4129">
        <v>112721897</v>
      </c>
    </row>
    <row r="4130" spans="1:2" x14ac:dyDescent="0.25">
      <c r="A4130" t="s">
        <v>113</v>
      </c>
      <c r="B4130">
        <v>79304</v>
      </c>
    </row>
    <row r="4131" spans="1:2" x14ac:dyDescent="0.25">
      <c r="A4131" t="s">
        <v>114</v>
      </c>
      <c r="B4131">
        <v>145596</v>
      </c>
    </row>
    <row r="4132" spans="1:2" x14ac:dyDescent="0.25">
      <c r="A4132" t="s">
        <v>115</v>
      </c>
      <c r="B4132">
        <v>112496997</v>
      </c>
    </row>
    <row r="4133" spans="1:2" x14ac:dyDescent="0.25">
      <c r="A4133" t="s">
        <v>116</v>
      </c>
      <c r="B4133">
        <v>52510444</v>
      </c>
    </row>
    <row r="4134" spans="1:2" x14ac:dyDescent="0.25">
      <c r="A4134" t="s">
        <v>117</v>
      </c>
      <c r="B4134">
        <v>-40337556</v>
      </c>
    </row>
    <row r="4135" spans="1:2" x14ac:dyDescent="0.25">
      <c r="A4135" t="s">
        <v>118</v>
      </c>
      <c r="B4135">
        <v>12172888</v>
      </c>
    </row>
    <row r="4136" spans="1:2" x14ac:dyDescent="0.25">
      <c r="A4136" t="s">
        <v>119</v>
      </c>
      <c r="B4136">
        <v>0</v>
      </c>
    </row>
    <row r="4137" spans="1:2" x14ac:dyDescent="0.25">
      <c r="A4137" t="s">
        <v>120</v>
      </c>
      <c r="B4137">
        <v>0</v>
      </c>
    </row>
    <row r="4138" spans="1:2" x14ac:dyDescent="0.25">
      <c r="A4138" t="s">
        <v>121</v>
      </c>
      <c r="B4138">
        <v>-17284803</v>
      </c>
    </row>
    <row r="4139" spans="1:2" x14ac:dyDescent="0.25">
      <c r="A4139" t="s">
        <v>122</v>
      </c>
      <c r="B4139">
        <v>-17284803</v>
      </c>
    </row>
    <row r="4140" spans="1:2" x14ac:dyDescent="0.25">
      <c r="A4140" t="s">
        <v>123</v>
      </c>
      <c r="B4140">
        <v>-5111915</v>
      </c>
    </row>
    <row r="4141" spans="1:2" x14ac:dyDescent="0.25">
      <c r="A4141" t="s">
        <v>124</v>
      </c>
      <c r="B4141">
        <v>0</v>
      </c>
    </row>
    <row r="4142" spans="1:2" x14ac:dyDescent="0.25">
      <c r="A4142" t="s">
        <v>125</v>
      </c>
      <c r="B4142">
        <v>-26123326</v>
      </c>
    </row>
    <row r="4143" spans="1:2" x14ac:dyDescent="0.25">
      <c r="A4143" t="s">
        <v>126</v>
      </c>
      <c r="B4143">
        <v>0</v>
      </c>
    </row>
    <row r="4144" spans="1:2" x14ac:dyDescent="0.25">
      <c r="A4144" t="s">
        <v>127</v>
      </c>
      <c r="B4144">
        <v>0</v>
      </c>
    </row>
    <row r="4145" spans="1:2" x14ac:dyDescent="0.25">
      <c r="A4145" t="s">
        <v>128</v>
      </c>
      <c r="B4145">
        <v>-26123326</v>
      </c>
    </row>
    <row r="4146" spans="1:2" x14ac:dyDescent="0.25">
      <c r="A4146" t="s">
        <v>129</v>
      </c>
      <c r="B4146">
        <v>-31235241</v>
      </c>
    </row>
    <row r="4147" spans="1:2" x14ac:dyDescent="0.25">
      <c r="A4147" t="s">
        <v>130</v>
      </c>
      <c r="B4147">
        <v>-38004220</v>
      </c>
    </row>
    <row r="4148" spans="1:2" x14ac:dyDescent="0.25">
      <c r="A4148" t="s">
        <v>131</v>
      </c>
      <c r="B4148">
        <v>0</v>
      </c>
    </row>
    <row r="4149" spans="1:2" x14ac:dyDescent="0.25">
      <c r="A4149" t="s">
        <v>132</v>
      </c>
      <c r="B4149">
        <v>-69239461</v>
      </c>
    </row>
    <row r="4150" spans="1:2" x14ac:dyDescent="0.25">
      <c r="A4150" t="s">
        <v>133</v>
      </c>
      <c r="B4150">
        <v>0</v>
      </c>
    </row>
    <row r="4151" spans="1:2" x14ac:dyDescent="0.25">
      <c r="A4151" t="s">
        <v>134</v>
      </c>
      <c r="B4151">
        <v>96677155</v>
      </c>
    </row>
    <row r="4152" spans="1:2" x14ac:dyDescent="0.25">
      <c r="A4152" t="s">
        <v>135</v>
      </c>
      <c r="B4152">
        <v>27437694</v>
      </c>
    </row>
    <row r="5001" spans="1:2" x14ac:dyDescent="0.25">
      <c r="A5001" t="s">
        <v>0</v>
      </c>
      <c r="B5001" t="s">
        <v>154</v>
      </c>
    </row>
    <row r="5002" spans="1:2" x14ac:dyDescent="0.25">
      <c r="A5002" t="s">
        <v>1</v>
      </c>
    </row>
    <row r="5003" spans="1:2" x14ac:dyDescent="0.25">
      <c r="A5003" t="s">
        <v>2</v>
      </c>
      <c r="B5003">
        <v>283019861</v>
      </c>
    </row>
    <row r="5004" spans="1:2" x14ac:dyDescent="0.25">
      <c r="A5004" t="s">
        <v>3</v>
      </c>
      <c r="B5004">
        <v>31570908</v>
      </c>
    </row>
    <row r="5005" spans="1:2" x14ac:dyDescent="0.25">
      <c r="A5005" t="s">
        <v>4</v>
      </c>
      <c r="B5005">
        <v>250858196</v>
      </c>
    </row>
    <row r="5006" spans="1:2" x14ac:dyDescent="0.25">
      <c r="A5006" t="s">
        <v>5</v>
      </c>
      <c r="B5006">
        <v>0</v>
      </c>
    </row>
    <row r="5007" spans="1:2" x14ac:dyDescent="0.25">
      <c r="A5007" t="s">
        <v>6</v>
      </c>
      <c r="B5007">
        <v>0</v>
      </c>
    </row>
    <row r="5008" spans="1:2" x14ac:dyDescent="0.25">
      <c r="A5008" t="s">
        <v>7</v>
      </c>
      <c r="B5008">
        <v>2877</v>
      </c>
    </row>
    <row r="5009" spans="1:2" x14ac:dyDescent="0.25">
      <c r="A5009" t="s">
        <v>8</v>
      </c>
      <c r="B5009">
        <v>0</v>
      </c>
    </row>
    <row r="5010" spans="1:2" x14ac:dyDescent="0.25">
      <c r="A5010" t="s">
        <v>9</v>
      </c>
      <c r="B5010">
        <v>0</v>
      </c>
    </row>
    <row r="5011" spans="1:2" x14ac:dyDescent="0.25">
      <c r="A5011" t="s">
        <v>10</v>
      </c>
      <c r="B5011">
        <v>0</v>
      </c>
    </row>
    <row r="5012" spans="1:2" x14ac:dyDescent="0.25">
      <c r="A5012" t="s">
        <v>11</v>
      </c>
      <c r="B5012">
        <v>587880</v>
      </c>
    </row>
    <row r="5013" spans="1:2" x14ac:dyDescent="0.25">
      <c r="A5013" t="s">
        <v>12</v>
      </c>
      <c r="B5013">
        <v>283019861</v>
      </c>
    </row>
    <row r="5014" spans="1:2" x14ac:dyDescent="0.25">
      <c r="A5014" t="s">
        <v>13</v>
      </c>
      <c r="B5014">
        <v>0</v>
      </c>
    </row>
    <row r="5015" spans="1:2" x14ac:dyDescent="0.25">
      <c r="A5015" t="s">
        <v>14</v>
      </c>
      <c r="B5015">
        <v>176364</v>
      </c>
    </row>
    <row r="5016" spans="1:2" x14ac:dyDescent="0.25">
      <c r="A5016" t="s">
        <v>5</v>
      </c>
      <c r="B5016">
        <v>0</v>
      </c>
    </row>
    <row r="5017" spans="1:2" x14ac:dyDescent="0.25">
      <c r="A5017" t="s">
        <v>6</v>
      </c>
      <c r="B5017">
        <v>0</v>
      </c>
    </row>
    <row r="5018" spans="1:2" x14ac:dyDescent="0.25">
      <c r="A5018" t="s">
        <v>7</v>
      </c>
      <c r="B5018">
        <v>0</v>
      </c>
    </row>
    <row r="5019" spans="1:2" x14ac:dyDescent="0.25">
      <c r="A5019" t="s">
        <v>8</v>
      </c>
      <c r="B5019">
        <v>0</v>
      </c>
    </row>
    <row r="5020" spans="1:2" x14ac:dyDescent="0.25">
      <c r="A5020" t="s">
        <v>4</v>
      </c>
      <c r="B5020">
        <v>0</v>
      </c>
    </row>
    <row r="5021" spans="1:2" x14ac:dyDescent="0.25">
      <c r="A5021" t="s">
        <v>15</v>
      </c>
      <c r="B5021">
        <v>0</v>
      </c>
    </row>
    <row r="5022" spans="1:2" x14ac:dyDescent="0.25">
      <c r="A5022" t="s">
        <v>10</v>
      </c>
      <c r="B5022">
        <v>0</v>
      </c>
    </row>
    <row r="5023" spans="1:2" x14ac:dyDescent="0.25">
      <c r="A5023" t="s">
        <v>16</v>
      </c>
      <c r="B5023">
        <v>0</v>
      </c>
    </row>
    <row r="5024" spans="1:2" x14ac:dyDescent="0.25">
      <c r="A5024" t="s">
        <v>9</v>
      </c>
      <c r="B5024">
        <v>0</v>
      </c>
    </row>
    <row r="5025" spans="1:2" x14ac:dyDescent="0.25">
      <c r="A5025" t="s">
        <v>17</v>
      </c>
      <c r="B5025">
        <v>0</v>
      </c>
    </row>
    <row r="5026" spans="1:2" x14ac:dyDescent="0.25">
      <c r="A5026" t="s">
        <v>18</v>
      </c>
      <c r="B5026">
        <v>176364</v>
      </c>
    </row>
    <row r="5027" spans="1:2" x14ac:dyDescent="0.25">
      <c r="A5027" t="s">
        <v>19</v>
      </c>
      <c r="B5027">
        <v>0</v>
      </c>
    </row>
    <row r="5028" spans="1:2" x14ac:dyDescent="0.25">
      <c r="A5028" t="s">
        <v>20</v>
      </c>
      <c r="B5028">
        <v>0</v>
      </c>
    </row>
    <row r="5029" spans="1:2" x14ac:dyDescent="0.25">
      <c r="A5029" t="s">
        <v>21</v>
      </c>
      <c r="B5029">
        <v>0</v>
      </c>
    </row>
    <row r="5030" spans="1:2" x14ac:dyDescent="0.25">
      <c r="A5030" t="s">
        <v>22</v>
      </c>
      <c r="B5030">
        <v>0</v>
      </c>
    </row>
    <row r="5031" spans="1:2" x14ac:dyDescent="0.25">
      <c r="A5031" t="s">
        <v>23</v>
      </c>
      <c r="B5031">
        <v>283196225</v>
      </c>
    </row>
    <row r="5032" spans="1:2" x14ac:dyDescent="0.25">
      <c r="A5032" t="s">
        <v>24</v>
      </c>
      <c r="B5032">
        <v>0</v>
      </c>
    </row>
    <row r="5033" spans="1:2" x14ac:dyDescent="0.25">
      <c r="A5033" t="s">
        <v>25</v>
      </c>
      <c r="B5033">
        <v>1516159</v>
      </c>
    </row>
    <row r="5034" spans="1:2" x14ac:dyDescent="0.25">
      <c r="A5034" t="s">
        <v>26</v>
      </c>
      <c r="B5034">
        <v>0</v>
      </c>
    </row>
    <row r="5035" spans="1:2" x14ac:dyDescent="0.25">
      <c r="A5035" t="s">
        <v>27</v>
      </c>
      <c r="B5035">
        <v>0</v>
      </c>
    </row>
    <row r="5036" spans="1:2" x14ac:dyDescent="0.25">
      <c r="A5036" t="s">
        <v>28</v>
      </c>
      <c r="B5036">
        <v>1241593</v>
      </c>
    </row>
    <row r="5037" spans="1:2" x14ac:dyDescent="0.25">
      <c r="A5037" t="s">
        <v>29</v>
      </c>
      <c r="B5037">
        <v>9221</v>
      </c>
    </row>
    <row r="5038" spans="1:2" x14ac:dyDescent="0.25">
      <c r="A5038" t="s">
        <v>30</v>
      </c>
      <c r="B5038">
        <v>0</v>
      </c>
    </row>
    <row r="5039" spans="1:2" x14ac:dyDescent="0.25">
      <c r="A5039" t="s">
        <v>31</v>
      </c>
      <c r="B5039">
        <v>0</v>
      </c>
    </row>
    <row r="5040" spans="1:2" x14ac:dyDescent="0.25">
      <c r="A5040" t="s">
        <v>32</v>
      </c>
      <c r="B5040">
        <v>0</v>
      </c>
    </row>
    <row r="5041" spans="1:2" x14ac:dyDescent="0.25">
      <c r="A5041" t="s">
        <v>33</v>
      </c>
      <c r="B5041">
        <v>0</v>
      </c>
    </row>
    <row r="5042" spans="1:2" x14ac:dyDescent="0.25">
      <c r="A5042" t="s">
        <v>34</v>
      </c>
      <c r="B5042">
        <v>0</v>
      </c>
    </row>
    <row r="5043" spans="1:2" x14ac:dyDescent="0.25">
      <c r="A5043" t="s">
        <v>35</v>
      </c>
      <c r="B5043">
        <v>169445</v>
      </c>
    </row>
    <row r="5044" spans="1:2" x14ac:dyDescent="0.25">
      <c r="A5044" t="s">
        <v>36</v>
      </c>
      <c r="B5044">
        <v>95900</v>
      </c>
    </row>
    <row r="5045" spans="1:2" x14ac:dyDescent="0.25">
      <c r="A5045" t="s">
        <v>12</v>
      </c>
      <c r="B5045">
        <v>1516159</v>
      </c>
    </row>
    <row r="5046" spans="1:2" x14ac:dyDescent="0.25">
      <c r="A5046" t="s">
        <v>37</v>
      </c>
      <c r="B5046">
        <v>0</v>
      </c>
    </row>
    <row r="5047" spans="1:2" x14ac:dyDescent="0.25">
      <c r="A5047" t="s">
        <v>38</v>
      </c>
      <c r="B5047">
        <v>590304</v>
      </c>
    </row>
    <row r="5048" spans="1:2" x14ac:dyDescent="0.25">
      <c r="A5048" t="s">
        <v>26</v>
      </c>
      <c r="B5048">
        <v>0</v>
      </c>
    </row>
    <row r="5049" spans="1:2" x14ac:dyDescent="0.25">
      <c r="A5049" t="s">
        <v>27</v>
      </c>
      <c r="B5049">
        <v>0</v>
      </c>
    </row>
    <row r="5050" spans="1:2" x14ac:dyDescent="0.25">
      <c r="A5050" t="s">
        <v>28</v>
      </c>
      <c r="B5050">
        <v>0</v>
      </c>
    </row>
    <row r="5051" spans="1:2" x14ac:dyDescent="0.25">
      <c r="A5051" t="s">
        <v>29</v>
      </c>
      <c r="B5051">
        <v>0</v>
      </c>
    </row>
    <row r="5052" spans="1:2" x14ac:dyDescent="0.25">
      <c r="A5052" t="s">
        <v>39</v>
      </c>
      <c r="B5052">
        <v>0</v>
      </c>
    </row>
    <row r="5053" spans="1:2" x14ac:dyDescent="0.25">
      <c r="A5053" t="s">
        <v>31</v>
      </c>
      <c r="B5053">
        <v>0</v>
      </c>
    </row>
    <row r="5054" spans="1:2" x14ac:dyDescent="0.25">
      <c r="A5054" t="s">
        <v>32</v>
      </c>
      <c r="B5054">
        <v>0</v>
      </c>
    </row>
    <row r="5055" spans="1:2" x14ac:dyDescent="0.25">
      <c r="A5055" t="s">
        <v>40</v>
      </c>
      <c r="B5055">
        <v>0</v>
      </c>
    </row>
    <row r="5056" spans="1:2" x14ac:dyDescent="0.25">
      <c r="A5056" t="s">
        <v>41</v>
      </c>
      <c r="B5056">
        <v>590304</v>
      </c>
    </row>
    <row r="5057" spans="1:2" x14ac:dyDescent="0.25">
      <c r="A5057" t="s">
        <v>42</v>
      </c>
      <c r="B5057">
        <v>0</v>
      </c>
    </row>
    <row r="5058" spans="1:2" x14ac:dyDescent="0.25">
      <c r="A5058" t="s">
        <v>43</v>
      </c>
      <c r="B5058">
        <v>0</v>
      </c>
    </row>
    <row r="5059" spans="1:2" x14ac:dyDescent="0.25">
      <c r="A5059" t="s">
        <v>44</v>
      </c>
      <c r="B5059">
        <v>0</v>
      </c>
    </row>
    <row r="5060" spans="1:2" x14ac:dyDescent="0.25">
      <c r="A5060" t="s">
        <v>45</v>
      </c>
      <c r="B5060">
        <v>281089762</v>
      </c>
    </row>
    <row r="5061" spans="1:2" x14ac:dyDescent="0.25">
      <c r="A5061" t="s">
        <v>46</v>
      </c>
      <c r="B5061">
        <v>281089762</v>
      </c>
    </row>
    <row r="5062" spans="1:2" x14ac:dyDescent="0.25">
      <c r="A5062" t="s">
        <v>47</v>
      </c>
      <c r="B5062">
        <v>42000000</v>
      </c>
    </row>
    <row r="5063" spans="1:2" x14ac:dyDescent="0.25">
      <c r="A5063" t="s">
        <v>48</v>
      </c>
      <c r="B5063">
        <v>0</v>
      </c>
    </row>
    <row r="5064" spans="1:2" x14ac:dyDescent="0.25">
      <c r="A5064" t="s">
        <v>49</v>
      </c>
      <c r="B5064">
        <v>2475242</v>
      </c>
    </row>
    <row r="5065" spans="1:2" x14ac:dyDescent="0.25">
      <c r="A5065" t="s">
        <v>50</v>
      </c>
      <c r="B5065">
        <v>0</v>
      </c>
    </row>
    <row r="5066" spans="1:2" x14ac:dyDescent="0.25">
      <c r="A5066" t="s">
        <v>51</v>
      </c>
      <c r="B5066">
        <v>0</v>
      </c>
    </row>
    <row r="5067" spans="1:2" x14ac:dyDescent="0.25">
      <c r="A5067" t="s">
        <v>52</v>
      </c>
      <c r="B5067">
        <v>29554554</v>
      </c>
    </row>
    <row r="5068" spans="1:2" x14ac:dyDescent="0.25">
      <c r="A5068" t="s">
        <v>53</v>
      </c>
      <c r="B5068">
        <v>-146115939</v>
      </c>
    </row>
    <row r="5069" spans="1:2" x14ac:dyDescent="0.25">
      <c r="A5069" t="s">
        <v>54</v>
      </c>
      <c r="B5069">
        <v>-69281706</v>
      </c>
    </row>
    <row r="5070" spans="1:2" x14ac:dyDescent="0.25">
      <c r="A5070" t="s">
        <v>55</v>
      </c>
      <c r="B5070">
        <v>422457611</v>
      </c>
    </row>
    <row r="5071" spans="1:2" x14ac:dyDescent="0.25">
      <c r="A5071" t="s">
        <v>56</v>
      </c>
      <c r="B5071">
        <v>0</v>
      </c>
    </row>
    <row r="5072" spans="1:2" x14ac:dyDescent="0.25">
      <c r="A5072" t="s">
        <v>57</v>
      </c>
      <c r="B5072">
        <v>283196225</v>
      </c>
    </row>
    <row r="5073" spans="1:2" x14ac:dyDescent="0.25">
      <c r="A5073" t="s">
        <v>58</v>
      </c>
    </row>
    <row r="5074" spans="1:2" x14ac:dyDescent="0.25">
      <c r="A5074" t="s">
        <v>59</v>
      </c>
      <c r="B5074">
        <v>0</v>
      </c>
    </row>
    <row r="5075" spans="1:2" x14ac:dyDescent="0.25">
      <c r="A5075" t="s">
        <v>60</v>
      </c>
      <c r="B5075">
        <v>4875076791</v>
      </c>
    </row>
    <row r="5076" spans="1:2" x14ac:dyDescent="0.25">
      <c r="A5076" t="s">
        <v>61</v>
      </c>
      <c r="B5076">
        <v>-4791014716</v>
      </c>
    </row>
    <row r="5077" spans="1:2" x14ac:dyDescent="0.25">
      <c r="A5077" t="s">
        <v>62</v>
      </c>
      <c r="B5077">
        <v>0</v>
      </c>
    </row>
    <row r="5078" spans="1:2" x14ac:dyDescent="0.25">
      <c r="A5078" t="s">
        <v>63</v>
      </c>
      <c r="B5078">
        <v>84062075</v>
      </c>
    </row>
    <row r="5079" spans="1:2" x14ac:dyDescent="0.25">
      <c r="A5079" t="s">
        <v>64</v>
      </c>
      <c r="B5079">
        <v>0</v>
      </c>
    </row>
    <row r="5080" spans="1:2" x14ac:dyDescent="0.25">
      <c r="A5080" t="s">
        <v>65</v>
      </c>
      <c r="B5080">
        <v>0</v>
      </c>
    </row>
    <row r="5081" spans="1:2" x14ac:dyDescent="0.25">
      <c r="A5081" t="s">
        <v>66</v>
      </c>
      <c r="B5081">
        <v>0</v>
      </c>
    </row>
    <row r="5082" spans="1:2" x14ac:dyDescent="0.25">
      <c r="A5082" t="s">
        <v>67</v>
      </c>
      <c r="B5082">
        <v>0</v>
      </c>
    </row>
    <row r="5083" spans="1:2" x14ac:dyDescent="0.25">
      <c r="A5083" t="s">
        <v>68</v>
      </c>
      <c r="B5083">
        <v>0</v>
      </c>
    </row>
    <row r="5084" spans="1:2" x14ac:dyDescent="0.25">
      <c r="A5084" t="s">
        <v>69</v>
      </c>
      <c r="B5084">
        <v>84062075</v>
      </c>
    </row>
    <row r="5085" spans="1:2" x14ac:dyDescent="0.25">
      <c r="A5085" t="s">
        <v>70</v>
      </c>
      <c r="B5085">
        <v>0</v>
      </c>
    </row>
    <row r="5086" spans="1:2" x14ac:dyDescent="0.25">
      <c r="A5086" t="s">
        <v>71</v>
      </c>
      <c r="B5086">
        <v>-5564194</v>
      </c>
    </row>
    <row r="5087" spans="1:2" x14ac:dyDescent="0.25">
      <c r="A5087" t="s">
        <v>72</v>
      </c>
      <c r="B5087">
        <v>0</v>
      </c>
    </row>
    <row r="5088" spans="1:2" x14ac:dyDescent="0.25">
      <c r="A5088" t="s">
        <v>73</v>
      </c>
      <c r="B5088">
        <v>92049</v>
      </c>
    </row>
    <row r="5089" spans="1:2" x14ac:dyDescent="0.25">
      <c r="A5089" t="s">
        <v>74</v>
      </c>
      <c r="B5089">
        <v>0</v>
      </c>
    </row>
    <row r="5090" spans="1:2" x14ac:dyDescent="0.25">
      <c r="A5090" t="s">
        <v>75</v>
      </c>
      <c r="B5090">
        <v>0</v>
      </c>
    </row>
    <row r="5091" spans="1:2" x14ac:dyDescent="0.25">
      <c r="A5091" t="s">
        <v>76</v>
      </c>
      <c r="B5091">
        <v>78589930</v>
      </c>
    </row>
    <row r="5092" spans="1:2" x14ac:dyDescent="0.25">
      <c r="A5092" t="s">
        <v>77</v>
      </c>
      <c r="B5092">
        <v>78497881</v>
      </c>
    </row>
    <row r="5093" spans="1:2" x14ac:dyDescent="0.25">
      <c r="A5093" t="s">
        <v>78</v>
      </c>
      <c r="B5093">
        <v>0</v>
      </c>
    </row>
    <row r="5094" spans="1:2" x14ac:dyDescent="0.25">
      <c r="A5094" t="s">
        <v>79</v>
      </c>
      <c r="B5094">
        <v>0</v>
      </c>
    </row>
    <row r="5095" spans="1:2" x14ac:dyDescent="0.25">
      <c r="A5095" t="s">
        <v>68</v>
      </c>
      <c r="B5095">
        <v>0</v>
      </c>
    </row>
    <row r="5096" spans="1:2" x14ac:dyDescent="0.25">
      <c r="A5096" t="s">
        <v>80</v>
      </c>
      <c r="B5096">
        <v>0</v>
      </c>
    </row>
    <row r="5097" spans="1:2" x14ac:dyDescent="0.25">
      <c r="A5097" t="s">
        <v>81</v>
      </c>
      <c r="B5097">
        <v>78589930</v>
      </c>
    </row>
    <row r="5098" spans="1:2" x14ac:dyDescent="0.25">
      <c r="A5098" t="s">
        <v>82</v>
      </c>
      <c r="B5098">
        <v>0</v>
      </c>
    </row>
    <row r="5099" spans="1:2" x14ac:dyDescent="0.25">
      <c r="A5099" t="s">
        <v>83</v>
      </c>
      <c r="B5099">
        <v>-138801383</v>
      </c>
    </row>
    <row r="5100" spans="1:2" x14ac:dyDescent="0.25">
      <c r="A5100" t="s">
        <v>84</v>
      </c>
      <c r="B5100">
        <v>0</v>
      </c>
    </row>
    <row r="5101" spans="1:2" x14ac:dyDescent="0.25">
      <c r="A5101" t="s">
        <v>85</v>
      </c>
      <c r="B5101">
        <v>-60211453</v>
      </c>
    </row>
    <row r="5102" spans="1:2" x14ac:dyDescent="0.25">
      <c r="A5102" t="s">
        <v>86</v>
      </c>
      <c r="B5102">
        <v>0</v>
      </c>
    </row>
    <row r="5103" spans="1:2" x14ac:dyDescent="0.25">
      <c r="A5103" t="s">
        <v>87</v>
      </c>
      <c r="B5103">
        <v>0</v>
      </c>
    </row>
    <row r="5104" spans="1:2" x14ac:dyDescent="0.25">
      <c r="A5104" t="s">
        <v>88</v>
      </c>
      <c r="B5104">
        <v>0</v>
      </c>
    </row>
    <row r="5105" spans="1:2" x14ac:dyDescent="0.25">
      <c r="A5105" t="s">
        <v>89</v>
      </c>
      <c r="B5105">
        <v>0</v>
      </c>
    </row>
    <row r="5106" spans="1:2" x14ac:dyDescent="0.25">
      <c r="A5106" t="s">
        <v>90</v>
      </c>
      <c r="B5106">
        <v>-60211453</v>
      </c>
    </row>
    <row r="5107" spans="1:2" x14ac:dyDescent="0.25">
      <c r="A5107" t="s">
        <v>91</v>
      </c>
      <c r="B5107">
        <v>0</v>
      </c>
    </row>
    <row r="5108" spans="1:2" x14ac:dyDescent="0.25">
      <c r="A5108" t="s">
        <v>92</v>
      </c>
      <c r="B5108">
        <v>0</v>
      </c>
    </row>
    <row r="5109" spans="1:2" x14ac:dyDescent="0.25">
      <c r="A5109" t="s">
        <v>93</v>
      </c>
      <c r="B5109">
        <v>-60211453</v>
      </c>
    </row>
    <row r="5110" spans="1:2" x14ac:dyDescent="0.25">
      <c r="A5110" t="s">
        <v>94</v>
      </c>
      <c r="B5110">
        <v>0</v>
      </c>
    </row>
    <row r="5111" spans="1:2" x14ac:dyDescent="0.25">
      <c r="A5111" t="s">
        <v>56</v>
      </c>
      <c r="B5111">
        <v>0</v>
      </c>
    </row>
    <row r="5112" spans="1:2" x14ac:dyDescent="0.25">
      <c r="A5112" t="s">
        <v>95</v>
      </c>
      <c r="B5112">
        <v>-60211453</v>
      </c>
    </row>
    <row r="5113" spans="1:2" x14ac:dyDescent="0.25">
      <c r="A5113" t="s">
        <v>96</v>
      </c>
      <c r="B5113">
        <v>-1</v>
      </c>
    </row>
    <row r="5114" spans="1:2" x14ac:dyDescent="0.25">
      <c r="A5114" t="s">
        <v>97</v>
      </c>
      <c r="B5114">
        <v>0</v>
      </c>
    </row>
    <row r="5115" spans="1:2" x14ac:dyDescent="0.25">
      <c r="A5115" t="s">
        <v>98</v>
      </c>
      <c r="B5115">
        <v>0</v>
      </c>
    </row>
    <row r="5116" spans="1:2" x14ac:dyDescent="0.25">
      <c r="A5116" t="s">
        <v>99</v>
      </c>
      <c r="B5116">
        <v>0</v>
      </c>
    </row>
    <row r="5117" spans="1:2" x14ac:dyDescent="0.25">
      <c r="A5117" t="s">
        <v>100</v>
      </c>
    </row>
    <row r="5118" spans="1:2" x14ac:dyDescent="0.25">
      <c r="A5118" t="s">
        <v>101</v>
      </c>
      <c r="B5118">
        <v>79304</v>
      </c>
    </row>
    <row r="5119" spans="1:2" x14ac:dyDescent="0.25">
      <c r="A5119" t="s">
        <v>102</v>
      </c>
      <c r="B5119">
        <v>48256</v>
      </c>
    </row>
    <row r="5120" spans="1:2" x14ac:dyDescent="0.25">
      <c r="A5120" t="s">
        <v>103</v>
      </c>
      <c r="B5120">
        <v>-138801383</v>
      </c>
    </row>
    <row r="5121" spans="1:2" x14ac:dyDescent="0.25">
      <c r="A5121" t="s">
        <v>104</v>
      </c>
      <c r="B5121">
        <v>0</v>
      </c>
    </row>
    <row r="5122" spans="1:2" x14ac:dyDescent="0.25">
      <c r="A5122" t="s">
        <v>105</v>
      </c>
      <c r="B5122">
        <v>0</v>
      </c>
    </row>
    <row r="5123" spans="1:2" x14ac:dyDescent="0.25">
      <c r="A5123" t="s">
        <v>106</v>
      </c>
      <c r="B5123">
        <v>0</v>
      </c>
    </row>
    <row r="5124" spans="1:2" x14ac:dyDescent="0.25">
      <c r="A5124" t="s">
        <v>107</v>
      </c>
      <c r="B5124">
        <v>0</v>
      </c>
    </row>
    <row r="5125" spans="1:2" x14ac:dyDescent="0.25">
      <c r="A5125" t="s">
        <v>108</v>
      </c>
      <c r="B5125">
        <v>0</v>
      </c>
    </row>
    <row r="5126" spans="1:2" x14ac:dyDescent="0.25">
      <c r="A5126" t="s">
        <v>109</v>
      </c>
    </row>
    <row r="5127" spans="1:2" x14ac:dyDescent="0.25">
      <c r="A5127" t="s">
        <v>110</v>
      </c>
      <c r="B5127">
        <v>12172888</v>
      </c>
    </row>
    <row r="5128" spans="1:2" x14ac:dyDescent="0.25">
      <c r="A5128" t="s">
        <v>111</v>
      </c>
      <c r="B5128">
        <v>-60211453</v>
      </c>
    </row>
    <row r="5129" spans="1:2" x14ac:dyDescent="0.25">
      <c r="A5129" t="s">
        <v>112</v>
      </c>
      <c r="B5129">
        <v>112721897</v>
      </c>
    </row>
    <row r="5130" spans="1:2" x14ac:dyDescent="0.25">
      <c r="A5130" t="s">
        <v>113</v>
      </c>
      <c r="B5130">
        <v>79304</v>
      </c>
    </row>
    <row r="5131" spans="1:2" x14ac:dyDescent="0.25">
      <c r="A5131" t="s">
        <v>114</v>
      </c>
      <c r="B5131">
        <v>145596</v>
      </c>
    </row>
    <row r="5132" spans="1:2" x14ac:dyDescent="0.25">
      <c r="A5132" t="s">
        <v>115</v>
      </c>
      <c r="B5132">
        <v>112496997</v>
      </c>
    </row>
    <row r="5133" spans="1:2" x14ac:dyDescent="0.25">
      <c r="A5133" t="s">
        <v>116</v>
      </c>
      <c r="B5133">
        <v>52510444</v>
      </c>
    </row>
    <row r="5134" spans="1:2" x14ac:dyDescent="0.25">
      <c r="A5134" t="s">
        <v>117</v>
      </c>
      <c r="B5134">
        <v>-40337556</v>
      </c>
    </row>
    <row r="5135" spans="1:2" x14ac:dyDescent="0.25">
      <c r="A5135" t="s">
        <v>118</v>
      </c>
      <c r="B5135">
        <v>12172888</v>
      </c>
    </row>
    <row r="5136" spans="1:2" x14ac:dyDescent="0.25">
      <c r="A5136" t="s">
        <v>119</v>
      </c>
      <c r="B5136">
        <v>0</v>
      </c>
    </row>
    <row r="5137" spans="1:2" x14ac:dyDescent="0.25">
      <c r="A5137" t="s">
        <v>120</v>
      </c>
      <c r="B5137">
        <v>0</v>
      </c>
    </row>
    <row r="5138" spans="1:2" x14ac:dyDescent="0.25">
      <c r="A5138" t="s">
        <v>121</v>
      </c>
      <c r="B5138">
        <v>-17284803</v>
      </c>
    </row>
    <row r="5139" spans="1:2" x14ac:dyDescent="0.25">
      <c r="A5139" t="s">
        <v>122</v>
      </c>
      <c r="B5139">
        <v>-17284803</v>
      </c>
    </row>
    <row r="5140" spans="1:2" x14ac:dyDescent="0.25">
      <c r="A5140" t="s">
        <v>123</v>
      </c>
      <c r="B5140">
        <v>-5111915</v>
      </c>
    </row>
    <row r="5141" spans="1:2" x14ac:dyDescent="0.25">
      <c r="A5141" t="s">
        <v>124</v>
      </c>
      <c r="B5141">
        <v>0</v>
      </c>
    </row>
    <row r="5142" spans="1:2" x14ac:dyDescent="0.25">
      <c r="A5142" t="s">
        <v>125</v>
      </c>
      <c r="B5142">
        <v>-26123326</v>
      </c>
    </row>
    <row r="5143" spans="1:2" x14ac:dyDescent="0.25">
      <c r="A5143" t="s">
        <v>126</v>
      </c>
      <c r="B5143">
        <v>0</v>
      </c>
    </row>
    <row r="5144" spans="1:2" x14ac:dyDescent="0.25">
      <c r="A5144" t="s">
        <v>127</v>
      </c>
      <c r="B5144">
        <v>0</v>
      </c>
    </row>
    <row r="5145" spans="1:2" x14ac:dyDescent="0.25">
      <c r="A5145" t="s">
        <v>128</v>
      </c>
      <c r="B5145">
        <v>-26123326</v>
      </c>
    </row>
    <row r="5146" spans="1:2" x14ac:dyDescent="0.25">
      <c r="A5146" t="s">
        <v>129</v>
      </c>
      <c r="B5146">
        <v>-31235241</v>
      </c>
    </row>
    <row r="5147" spans="1:2" x14ac:dyDescent="0.25">
      <c r="A5147" t="s">
        <v>130</v>
      </c>
      <c r="B5147">
        <v>-38004220</v>
      </c>
    </row>
    <row r="5148" spans="1:2" x14ac:dyDescent="0.25">
      <c r="A5148" t="s">
        <v>131</v>
      </c>
      <c r="B5148">
        <v>0</v>
      </c>
    </row>
    <row r="5149" spans="1:2" x14ac:dyDescent="0.25">
      <c r="A5149" t="s">
        <v>132</v>
      </c>
      <c r="B5149">
        <v>-69239461</v>
      </c>
    </row>
    <row r="5150" spans="1:2" x14ac:dyDescent="0.25">
      <c r="A5150" t="s">
        <v>133</v>
      </c>
      <c r="B5150">
        <v>0</v>
      </c>
    </row>
    <row r="5151" spans="1:2" x14ac:dyDescent="0.25">
      <c r="A5151" t="s">
        <v>134</v>
      </c>
      <c r="B5151">
        <v>96677155</v>
      </c>
    </row>
    <row r="5152" spans="1:2" x14ac:dyDescent="0.25">
      <c r="A5152" t="s">
        <v>135</v>
      </c>
      <c r="B5152">
        <v>27437694</v>
      </c>
    </row>
    <row r="6001" spans="1:2" x14ac:dyDescent="0.25">
      <c r="A6001" t="s">
        <v>0</v>
      </c>
      <c r="B6001" t="s">
        <v>154</v>
      </c>
    </row>
    <row r="6002" spans="1:2" x14ac:dyDescent="0.25">
      <c r="A6002" t="s">
        <v>1</v>
      </c>
    </row>
    <row r="6003" spans="1:2" x14ac:dyDescent="0.25">
      <c r="A6003" t="s">
        <v>2</v>
      </c>
      <c r="B6003">
        <v>283019861</v>
      </c>
    </row>
    <row r="6004" spans="1:2" x14ac:dyDescent="0.25">
      <c r="A6004" t="s">
        <v>3</v>
      </c>
      <c r="B6004">
        <v>31570908</v>
      </c>
    </row>
    <row r="6005" spans="1:2" x14ac:dyDescent="0.25">
      <c r="A6005" t="s">
        <v>4</v>
      </c>
      <c r="B6005">
        <v>250858196</v>
      </c>
    </row>
    <row r="6006" spans="1:2" x14ac:dyDescent="0.25">
      <c r="A6006" t="s">
        <v>5</v>
      </c>
      <c r="B6006">
        <v>0</v>
      </c>
    </row>
    <row r="6007" spans="1:2" x14ac:dyDescent="0.25">
      <c r="A6007" t="s">
        <v>6</v>
      </c>
      <c r="B6007">
        <v>0</v>
      </c>
    </row>
    <row r="6008" spans="1:2" x14ac:dyDescent="0.25">
      <c r="A6008" t="s">
        <v>7</v>
      </c>
      <c r="B6008">
        <v>2877</v>
      </c>
    </row>
    <row r="6009" spans="1:2" x14ac:dyDescent="0.25">
      <c r="A6009" t="s">
        <v>8</v>
      </c>
      <c r="B6009">
        <v>0</v>
      </c>
    </row>
    <row r="6010" spans="1:2" x14ac:dyDescent="0.25">
      <c r="A6010" t="s">
        <v>9</v>
      </c>
      <c r="B6010">
        <v>0</v>
      </c>
    </row>
    <row r="6011" spans="1:2" x14ac:dyDescent="0.25">
      <c r="A6011" t="s">
        <v>10</v>
      </c>
      <c r="B6011">
        <v>0</v>
      </c>
    </row>
    <row r="6012" spans="1:2" x14ac:dyDescent="0.25">
      <c r="A6012" t="s">
        <v>11</v>
      </c>
      <c r="B6012">
        <v>587880</v>
      </c>
    </row>
    <row r="6013" spans="1:2" x14ac:dyDescent="0.25">
      <c r="A6013" t="s">
        <v>12</v>
      </c>
      <c r="B6013">
        <v>283019861</v>
      </c>
    </row>
    <row r="6014" spans="1:2" x14ac:dyDescent="0.25">
      <c r="A6014" t="s">
        <v>13</v>
      </c>
      <c r="B6014">
        <v>0</v>
      </c>
    </row>
    <row r="6015" spans="1:2" x14ac:dyDescent="0.25">
      <c r="A6015" t="s">
        <v>14</v>
      </c>
      <c r="B6015">
        <v>176364</v>
      </c>
    </row>
    <row r="6016" spans="1:2" x14ac:dyDescent="0.25">
      <c r="A6016" t="s">
        <v>5</v>
      </c>
      <c r="B6016">
        <v>0</v>
      </c>
    </row>
    <row r="6017" spans="1:2" x14ac:dyDescent="0.25">
      <c r="A6017" t="s">
        <v>6</v>
      </c>
      <c r="B6017">
        <v>0</v>
      </c>
    </row>
    <row r="6018" spans="1:2" x14ac:dyDescent="0.25">
      <c r="A6018" t="s">
        <v>7</v>
      </c>
      <c r="B6018">
        <v>0</v>
      </c>
    </row>
    <row r="6019" spans="1:2" x14ac:dyDescent="0.25">
      <c r="A6019" t="s">
        <v>8</v>
      </c>
      <c r="B6019">
        <v>0</v>
      </c>
    </row>
    <row r="6020" spans="1:2" x14ac:dyDescent="0.25">
      <c r="A6020" t="s">
        <v>4</v>
      </c>
      <c r="B6020">
        <v>0</v>
      </c>
    </row>
    <row r="6021" spans="1:2" x14ac:dyDescent="0.25">
      <c r="A6021" t="s">
        <v>15</v>
      </c>
      <c r="B6021">
        <v>0</v>
      </c>
    </row>
    <row r="6022" spans="1:2" x14ac:dyDescent="0.25">
      <c r="A6022" t="s">
        <v>10</v>
      </c>
      <c r="B6022">
        <v>0</v>
      </c>
    </row>
    <row r="6023" spans="1:2" x14ac:dyDescent="0.25">
      <c r="A6023" t="s">
        <v>16</v>
      </c>
      <c r="B6023">
        <v>0</v>
      </c>
    </row>
    <row r="6024" spans="1:2" x14ac:dyDescent="0.25">
      <c r="A6024" t="s">
        <v>9</v>
      </c>
      <c r="B6024">
        <v>0</v>
      </c>
    </row>
    <row r="6025" spans="1:2" x14ac:dyDescent="0.25">
      <c r="A6025" t="s">
        <v>17</v>
      </c>
      <c r="B6025">
        <v>0</v>
      </c>
    </row>
    <row r="6026" spans="1:2" x14ac:dyDescent="0.25">
      <c r="A6026" t="s">
        <v>18</v>
      </c>
      <c r="B6026">
        <v>176364</v>
      </c>
    </row>
    <row r="6027" spans="1:2" x14ac:dyDescent="0.25">
      <c r="A6027" t="s">
        <v>19</v>
      </c>
      <c r="B6027">
        <v>0</v>
      </c>
    </row>
    <row r="6028" spans="1:2" x14ac:dyDescent="0.25">
      <c r="A6028" t="s">
        <v>20</v>
      </c>
      <c r="B6028">
        <v>0</v>
      </c>
    </row>
    <row r="6029" spans="1:2" x14ac:dyDescent="0.25">
      <c r="A6029" t="s">
        <v>21</v>
      </c>
      <c r="B6029">
        <v>0</v>
      </c>
    </row>
    <row r="6030" spans="1:2" x14ac:dyDescent="0.25">
      <c r="A6030" t="s">
        <v>22</v>
      </c>
      <c r="B6030">
        <v>0</v>
      </c>
    </row>
    <row r="6031" spans="1:2" x14ac:dyDescent="0.25">
      <c r="A6031" t="s">
        <v>23</v>
      </c>
      <c r="B6031">
        <v>283196225</v>
      </c>
    </row>
    <row r="6032" spans="1:2" x14ac:dyDescent="0.25">
      <c r="A6032" t="s">
        <v>24</v>
      </c>
      <c r="B6032">
        <v>0</v>
      </c>
    </row>
    <row r="6033" spans="1:2" x14ac:dyDescent="0.25">
      <c r="A6033" t="s">
        <v>25</v>
      </c>
      <c r="B6033">
        <v>1516159</v>
      </c>
    </row>
    <row r="6034" spans="1:2" x14ac:dyDescent="0.25">
      <c r="A6034" t="s">
        <v>26</v>
      </c>
      <c r="B6034">
        <v>0</v>
      </c>
    </row>
    <row r="6035" spans="1:2" x14ac:dyDescent="0.25">
      <c r="A6035" t="s">
        <v>27</v>
      </c>
      <c r="B6035">
        <v>0</v>
      </c>
    </row>
    <row r="6036" spans="1:2" x14ac:dyDescent="0.25">
      <c r="A6036" t="s">
        <v>28</v>
      </c>
      <c r="B6036">
        <v>1241593</v>
      </c>
    </row>
    <row r="6037" spans="1:2" x14ac:dyDescent="0.25">
      <c r="A6037" t="s">
        <v>29</v>
      </c>
      <c r="B6037">
        <v>9221</v>
      </c>
    </row>
    <row r="6038" spans="1:2" x14ac:dyDescent="0.25">
      <c r="A6038" t="s">
        <v>30</v>
      </c>
      <c r="B6038">
        <v>0</v>
      </c>
    </row>
    <row r="6039" spans="1:2" x14ac:dyDescent="0.25">
      <c r="A6039" t="s">
        <v>31</v>
      </c>
      <c r="B6039">
        <v>0</v>
      </c>
    </row>
    <row r="6040" spans="1:2" x14ac:dyDescent="0.25">
      <c r="A6040" t="s">
        <v>32</v>
      </c>
      <c r="B6040">
        <v>0</v>
      </c>
    </row>
    <row r="6041" spans="1:2" x14ac:dyDescent="0.25">
      <c r="A6041" t="s">
        <v>33</v>
      </c>
      <c r="B6041">
        <v>0</v>
      </c>
    </row>
    <row r="6042" spans="1:2" x14ac:dyDescent="0.25">
      <c r="A6042" t="s">
        <v>34</v>
      </c>
      <c r="B6042">
        <v>0</v>
      </c>
    </row>
    <row r="6043" spans="1:2" x14ac:dyDescent="0.25">
      <c r="A6043" t="s">
        <v>35</v>
      </c>
      <c r="B6043">
        <v>169445</v>
      </c>
    </row>
    <row r="6044" spans="1:2" x14ac:dyDescent="0.25">
      <c r="A6044" t="s">
        <v>36</v>
      </c>
      <c r="B6044">
        <v>95900</v>
      </c>
    </row>
    <row r="6045" spans="1:2" x14ac:dyDescent="0.25">
      <c r="A6045" t="s">
        <v>12</v>
      </c>
      <c r="B6045">
        <v>1516159</v>
      </c>
    </row>
    <row r="6046" spans="1:2" x14ac:dyDescent="0.25">
      <c r="A6046" t="s">
        <v>37</v>
      </c>
      <c r="B6046">
        <v>0</v>
      </c>
    </row>
    <row r="6047" spans="1:2" x14ac:dyDescent="0.25">
      <c r="A6047" t="s">
        <v>38</v>
      </c>
      <c r="B6047">
        <v>590304</v>
      </c>
    </row>
    <row r="6048" spans="1:2" x14ac:dyDescent="0.25">
      <c r="A6048" t="s">
        <v>26</v>
      </c>
      <c r="B6048">
        <v>0</v>
      </c>
    </row>
    <row r="6049" spans="1:2" x14ac:dyDescent="0.25">
      <c r="A6049" t="s">
        <v>27</v>
      </c>
      <c r="B6049">
        <v>0</v>
      </c>
    </row>
    <row r="6050" spans="1:2" x14ac:dyDescent="0.25">
      <c r="A6050" t="s">
        <v>28</v>
      </c>
      <c r="B6050">
        <v>0</v>
      </c>
    </row>
    <row r="6051" spans="1:2" x14ac:dyDescent="0.25">
      <c r="A6051" t="s">
        <v>29</v>
      </c>
      <c r="B6051">
        <v>0</v>
      </c>
    </row>
    <row r="6052" spans="1:2" x14ac:dyDescent="0.25">
      <c r="A6052" t="s">
        <v>39</v>
      </c>
      <c r="B6052">
        <v>0</v>
      </c>
    </row>
    <row r="6053" spans="1:2" x14ac:dyDescent="0.25">
      <c r="A6053" t="s">
        <v>31</v>
      </c>
      <c r="B6053">
        <v>0</v>
      </c>
    </row>
    <row r="6054" spans="1:2" x14ac:dyDescent="0.25">
      <c r="A6054" t="s">
        <v>32</v>
      </c>
      <c r="B6054">
        <v>0</v>
      </c>
    </row>
    <row r="6055" spans="1:2" x14ac:dyDescent="0.25">
      <c r="A6055" t="s">
        <v>40</v>
      </c>
      <c r="B6055">
        <v>0</v>
      </c>
    </row>
    <row r="6056" spans="1:2" x14ac:dyDescent="0.25">
      <c r="A6056" t="s">
        <v>41</v>
      </c>
      <c r="B6056">
        <v>590304</v>
      </c>
    </row>
    <row r="6057" spans="1:2" x14ac:dyDescent="0.25">
      <c r="A6057" t="s">
        <v>42</v>
      </c>
      <c r="B6057">
        <v>0</v>
      </c>
    </row>
    <row r="6058" spans="1:2" x14ac:dyDescent="0.25">
      <c r="A6058" t="s">
        <v>43</v>
      </c>
      <c r="B6058">
        <v>0</v>
      </c>
    </row>
    <row r="6059" spans="1:2" x14ac:dyDescent="0.25">
      <c r="A6059" t="s">
        <v>44</v>
      </c>
      <c r="B6059">
        <v>0</v>
      </c>
    </row>
    <row r="6060" spans="1:2" x14ac:dyDescent="0.25">
      <c r="A6060" t="s">
        <v>45</v>
      </c>
      <c r="B6060">
        <v>281089762</v>
      </c>
    </row>
    <row r="6061" spans="1:2" x14ac:dyDescent="0.25">
      <c r="A6061" t="s">
        <v>46</v>
      </c>
      <c r="B6061">
        <v>281089762</v>
      </c>
    </row>
    <row r="6062" spans="1:2" x14ac:dyDescent="0.25">
      <c r="A6062" t="s">
        <v>47</v>
      </c>
      <c r="B6062">
        <v>42000000</v>
      </c>
    </row>
    <row r="6063" spans="1:2" x14ac:dyDescent="0.25">
      <c r="A6063" t="s">
        <v>48</v>
      </c>
      <c r="B6063">
        <v>0</v>
      </c>
    </row>
    <row r="6064" spans="1:2" x14ac:dyDescent="0.25">
      <c r="A6064" t="s">
        <v>49</v>
      </c>
      <c r="B6064">
        <v>2475242</v>
      </c>
    </row>
    <row r="6065" spans="1:2" x14ac:dyDescent="0.25">
      <c r="A6065" t="s">
        <v>50</v>
      </c>
      <c r="B6065">
        <v>0</v>
      </c>
    </row>
    <row r="6066" spans="1:2" x14ac:dyDescent="0.25">
      <c r="A6066" t="s">
        <v>51</v>
      </c>
      <c r="B6066">
        <v>0</v>
      </c>
    </row>
    <row r="6067" spans="1:2" x14ac:dyDescent="0.25">
      <c r="A6067" t="s">
        <v>52</v>
      </c>
      <c r="B6067">
        <v>29554554</v>
      </c>
    </row>
    <row r="6068" spans="1:2" x14ac:dyDescent="0.25">
      <c r="A6068" t="s">
        <v>53</v>
      </c>
      <c r="B6068">
        <v>-146115939</v>
      </c>
    </row>
    <row r="6069" spans="1:2" x14ac:dyDescent="0.25">
      <c r="A6069" t="s">
        <v>54</v>
      </c>
      <c r="B6069">
        <v>-69281706</v>
      </c>
    </row>
    <row r="6070" spans="1:2" x14ac:dyDescent="0.25">
      <c r="A6070" t="s">
        <v>55</v>
      </c>
      <c r="B6070">
        <v>422457611</v>
      </c>
    </row>
    <row r="6071" spans="1:2" x14ac:dyDescent="0.25">
      <c r="A6071" t="s">
        <v>56</v>
      </c>
      <c r="B6071">
        <v>0</v>
      </c>
    </row>
    <row r="6072" spans="1:2" x14ac:dyDescent="0.25">
      <c r="A6072" t="s">
        <v>57</v>
      </c>
      <c r="B6072">
        <v>283196225</v>
      </c>
    </row>
    <row r="6073" spans="1:2" x14ac:dyDescent="0.25">
      <c r="A6073" t="s">
        <v>58</v>
      </c>
    </row>
    <row r="6074" spans="1:2" x14ac:dyDescent="0.25">
      <c r="A6074" t="s">
        <v>59</v>
      </c>
      <c r="B6074">
        <v>0</v>
      </c>
    </row>
    <row r="6075" spans="1:2" x14ac:dyDescent="0.25">
      <c r="A6075" t="s">
        <v>60</v>
      </c>
      <c r="B6075">
        <v>4875076791</v>
      </c>
    </row>
    <row r="6076" spans="1:2" x14ac:dyDescent="0.25">
      <c r="A6076" t="s">
        <v>61</v>
      </c>
      <c r="B6076">
        <v>-4791014716</v>
      </c>
    </row>
    <row r="6077" spans="1:2" x14ac:dyDescent="0.25">
      <c r="A6077" t="s">
        <v>62</v>
      </c>
      <c r="B6077">
        <v>0</v>
      </c>
    </row>
    <row r="6078" spans="1:2" x14ac:dyDescent="0.25">
      <c r="A6078" t="s">
        <v>63</v>
      </c>
      <c r="B6078">
        <v>84062075</v>
      </c>
    </row>
    <row r="6079" spans="1:2" x14ac:dyDescent="0.25">
      <c r="A6079" t="s">
        <v>64</v>
      </c>
      <c r="B6079">
        <v>0</v>
      </c>
    </row>
    <row r="6080" spans="1:2" x14ac:dyDescent="0.25">
      <c r="A6080" t="s">
        <v>65</v>
      </c>
      <c r="B6080">
        <v>0</v>
      </c>
    </row>
    <row r="6081" spans="1:2" x14ac:dyDescent="0.25">
      <c r="A6081" t="s">
        <v>66</v>
      </c>
      <c r="B6081">
        <v>0</v>
      </c>
    </row>
    <row r="6082" spans="1:2" x14ac:dyDescent="0.25">
      <c r="A6082" t="s">
        <v>67</v>
      </c>
      <c r="B6082">
        <v>0</v>
      </c>
    </row>
    <row r="6083" spans="1:2" x14ac:dyDescent="0.25">
      <c r="A6083" t="s">
        <v>68</v>
      </c>
      <c r="B6083">
        <v>0</v>
      </c>
    </row>
    <row r="6084" spans="1:2" x14ac:dyDescent="0.25">
      <c r="A6084" t="s">
        <v>69</v>
      </c>
      <c r="B6084">
        <v>84062075</v>
      </c>
    </row>
    <row r="6085" spans="1:2" x14ac:dyDescent="0.25">
      <c r="A6085" t="s">
        <v>70</v>
      </c>
      <c r="B6085">
        <v>0</v>
      </c>
    </row>
    <row r="6086" spans="1:2" x14ac:dyDescent="0.25">
      <c r="A6086" t="s">
        <v>71</v>
      </c>
      <c r="B6086">
        <v>-5564194</v>
      </c>
    </row>
    <row r="6087" spans="1:2" x14ac:dyDescent="0.25">
      <c r="A6087" t="s">
        <v>72</v>
      </c>
      <c r="B6087">
        <v>0</v>
      </c>
    </row>
    <row r="6088" spans="1:2" x14ac:dyDescent="0.25">
      <c r="A6088" t="s">
        <v>73</v>
      </c>
      <c r="B6088">
        <v>92049</v>
      </c>
    </row>
    <row r="6089" spans="1:2" x14ac:dyDescent="0.25">
      <c r="A6089" t="s">
        <v>74</v>
      </c>
      <c r="B6089">
        <v>0</v>
      </c>
    </row>
    <row r="6090" spans="1:2" x14ac:dyDescent="0.25">
      <c r="A6090" t="s">
        <v>75</v>
      </c>
      <c r="B6090">
        <v>0</v>
      </c>
    </row>
    <row r="6091" spans="1:2" x14ac:dyDescent="0.25">
      <c r="A6091" t="s">
        <v>76</v>
      </c>
      <c r="B6091">
        <v>78589930</v>
      </c>
    </row>
    <row r="6092" spans="1:2" x14ac:dyDescent="0.25">
      <c r="A6092" t="s">
        <v>77</v>
      </c>
      <c r="B6092">
        <v>78497881</v>
      </c>
    </row>
    <row r="6093" spans="1:2" x14ac:dyDescent="0.25">
      <c r="A6093" t="s">
        <v>78</v>
      </c>
      <c r="B6093">
        <v>0</v>
      </c>
    </row>
    <row r="6094" spans="1:2" x14ac:dyDescent="0.25">
      <c r="A6094" t="s">
        <v>79</v>
      </c>
      <c r="B6094">
        <v>0</v>
      </c>
    </row>
    <row r="6095" spans="1:2" x14ac:dyDescent="0.25">
      <c r="A6095" t="s">
        <v>68</v>
      </c>
      <c r="B6095">
        <v>0</v>
      </c>
    </row>
    <row r="6096" spans="1:2" x14ac:dyDescent="0.25">
      <c r="A6096" t="s">
        <v>80</v>
      </c>
      <c r="B6096">
        <v>0</v>
      </c>
    </row>
    <row r="6097" spans="1:2" x14ac:dyDescent="0.25">
      <c r="A6097" t="s">
        <v>81</v>
      </c>
      <c r="B6097">
        <v>78589930</v>
      </c>
    </row>
    <row r="6098" spans="1:2" x14ac:dyDescent="0.25">
      <c r="A6098" t="s">
        <v>82</v>
      </c>
      <c r="B6098">
        <v>0</v>
      </c>
    </row>
    <row r="6099" spans="1:2" x14ac:dyDescent="0.25">
      <c r="A6099" t="s">
        <v>83</v>
      </c>
      <c r="B6099">
        <v>-138801383</v>
      </c>
    </row>
    <row r="6100" spans="1:2" x14ac:dyDescent="0.25">
      <c r="A6100" t="s">
        <v>84</v>
      </c>
      <c r="B6100">
        <v>0</v>
      </c>
    </row>
    <row r="6101" spans="1:2" x14ac:dyDescent="0.25">
      <c r="A6101" t="s">
        <v>85</v>
      </c>
      <c r="B6101">
        <v>-60211453</v>
      </c>
    </row>
    <row r="6102" spans="1:2" x14ac:dyDescent="0.25">
      <c r="A6102" t="s">
        <v>86</v>
      </c>
      <c r="B6102">
        <v>0</v>
      </c>
    </row>
    <row r="6103" spans="1:2" x14ac:dyDescent="0.25">
      <c r="A6103" t="s">
        <v>87</v>
      </c>
      <c r="B6103">
        <v>0</v>
      </c>
    </row>
    <row r="6104" spans="1:2" x14ac:dyDescent="0.25">
      <c r="A6104" t="s">
        <v>88</v>
      </c>
      <c r="B6104">
        <v>0</v>
      </c>
    </row>
    <row r="6105" spans="1:2" x14ac:dyDescent="0.25">
      <c r="A6105" t="s">
        <v>89</v>
      </c>
      <c r="B6105">
        <v>0</v>
      </c>
    </row>
    <row r="6106" spans="1:2" x14ac:dyDescent="0.25">
      <c r="A6106" t="s">
        <v>90</v>
      </c>
      <c r="B6106">
        <v>-60211453</v>
      </c>
    </row>
    <row r="6107" spans="1:2" x14ac:dyDescent="0.25">
      <c r="A6107" t="s">
        <v>91</v>
      </c>
      <c r="B6107">
        <v>0</v>
      </c>
    </row>
    <row r="6108" spans="1:2" x14ac:dyDescent="0.25">
      <c r="A6108" t="s">
        <v>92</v>
      </c>
      <c r="B6108">
        <v>0</v>
      </c>
    </row>
    <row r="6109" spans="1:2" x14ac:dyDescent="0.25">
      <c r="A6109" t="s">
        <v>93</v>
      </c>
      <c r="B6109">
        <v>-60211453</v>
      </c>
    </row>
    <row r="6110" spans="1:2" x14ac:dyDescent="0.25">
      <c r="A6110" t="s">
        <v>94</v>
      </c>
      <c r="B6110">
        <v>0</v>
      </c>
    </row>
    <row r="6111" spans="1:2" x14ac:dyDescent="0.25">
      <c r="A6111" t="s">
        <v>56</v>
      </c>
      <c r="B6111">
        <v>0</v>
      </c>
    </row>
    <row r="6112" spans="1:2" x14ac:dyDescent="0.25">
      <c r="A6112" t="s">
        <v>95</v>
      </c>
      <c r="B6112">
        <v>-60211453</v>
      </c>
    </row>
    <row r="6113" spans="1:2" x14ac:dyDescent="0.25">
      <c r="A6113" t="s">
        <v>96</v>
      </c>
      <c r="B6113">
        <v>-1</v>
      </c>
    </row>
    <row r="6114" spans="1:2" x14ac:dyDescent="0.25">
      <c r="A6114" t="s">
        <v>97</v>
      </c>
      <c r="B6114">
        <v>0</v>
      </c>
    </row>
    <row r="6115" spans="1:2" x14ac:dyDescent="0.25">
      <c r="A6115" t="s">
        <v>98</v>
      </c>
      <c r="B6115">
        <v>0</v>
      </c>
    </row>
    <row r="6116" spans="1:2" x14ac:dyDescent="0.25">
      <c r="A6116" t="s">
        <v>99</v>
      </c>
      <c r="B6116">
        <v>0</v>
      </c>
    </row>
    <row r="6117" spans="1:2" x14ac:dyDescent="0.25">
      <c r="A6117" t="s">
        <v>100</v>
      </c>
    </row>
    <row r="6118" spans="1:2" x14ac:dyDescent="0.25">
      <c r="A6118" t="s">
        <v>101</v>
      </c>
      <c r="B6118">
        <v>79304</v>
      </c>
    </row>
    <row r="6119" spans="1:2" x14ac:dyDescent="0.25">
      <c r="A6119" t="s">
        <v>102</v>
      </c>
      <c r="B6119">
        <v>48256</v>
      </c>
    </row>
    <row r="6120" spans="1:2" x14ac:dyDescent="0.25">
      <c r="A6120" t="s">
        <v>103</v>
      </c>
      <c r="B6120">
        <v>-138801383</v>
      </c>
    </row>
    <row r="6121" spans="1:2" x14ac:dyDescent="0.25">
      <c r="A6121" t="s">
        <v>104</v>
      </c>
      <c r="B6121">
        <v>0</v>
      </c>
    </row>
    <row r="6122" spans="1:2" x14ac:dyDescent="0.25">
      <c r="A6122" t="s">
        <v>105</v>
      </c>
      <c r="B6122">
        <v>0</v>
      </c>
    </row>
    <row r="6123" spans="1:2" x14ac:dyDescent="0.25">
      <c r="A6123" t="s">
        <v>106</v>
      </c>
      <c r="B6123">
        <v>0</v>
      </c>
    </row>
    <row r="6124" spans="1:2" x14ac:dyDescent="0.25">
      <c r="A6124" t="s">
        <v>107</v>
      </c>
      <c r="B6124">
        <v>0</v>
      </c>
    </row>
    <row r="6125" spans="1:2" x14ac:dyDescent="0.25">
      <c r="A6125" t="s">
        <v>108</v>
      </c>
      <c r="B6125">
        <v>0</v>
      </c>
    </row>
    <row r="6126" spans="1:2" x14ac:dyDescent="0.25">
      <c r="A6126" t="s">
        <v>109</v>
      </c>
    </row>
    <row r="6127" spans="1:2" x14ac:dyDescent="0.25">
      <c r="A6127" t="s">
        <v>110</v>
      </c>
      <c r="B6127">
        <v>12172888</v>
      </c>
    </row>
    <row r="6128" spans="1:2" x14ac:dyDescent="0.25">
      <c r="A6128" t="s">
        <v>111</v>
      </c>
      <c r="B6128">
        <v>-60211453</v>
      </c>
    </row>
    <row r="6129" spans="1:2" x14ac:dyDescent="0.25">
      <c r="A6129" t="s">
        <v>112</v>
      </c>
      <c r="B6129">
        <v>112721897</v>
      </c>
    </row>
    <row r="6130" spans="1:2" x14ac:dyDescent="0.25">
      <c r="A6130" t="s">
        <v>113</v>
      </c>
      <c r="B6130">
        <v>79304</v>
      </c>
    </row>
    <row r="6131" spans="1:2" x14ac:dyDescent="0.25">
      <c r="A6131" t="s">
        <v>114</v>
      </c>
      <c r="B6131">
        <v>145596</v>
      </c>
    </row>
    <row r="6132" spans="1:2" x14ac:dyDescent="0.25">
      <c r="A6132" t="s">
        <v>115</v>
      </c>
      <c r="B6132">
        <v>112496997</v>
      </c>
    </row>
    <row r="6133" spans="1:2" x14ac:dyDescent="0.25">
      <c r="A6133" t="s">
        <v>116</v>
      </c>
      <c r="B6133">
        <v>52510444</v>
      </c>
    </row>
    <row r="6134" spans="1:2" x14ac:dyDescent="0.25">
      <c r="A6134" t="s">
        <v>117</v>
      </c>
      <c r="B6134">
        <v>-40337556</v>
      </c>
    </row>
    <row r="6135" spans="1:2" x14ac:dyDescent="0.25">
      <c r="A6135" t="s">
        <v>118</v>
      </c>
      <c r="B6135">
        <v>12172888</v>
      </c>
    </row>
    <row r="6136" spans="1:2" x14ac:dyDescent="0.25">
      <c r="A6136" t="s">
        <v>119</v>
      </c>
      <c r="B6136">
        <v>0</v>
      </c>
    </row>
    <row r="6137" spans="1:2" x14ac:dyDescent="0.25">
      <c r="A6137" t="s">
        <v>120</v>
      </c>
      <c r="B6137">
        <v>0</v>
      </c>
    </row>
    <row r="6138" spans="1:2" x14ac:dyDescent="0.25">
      <c r="A6138" t="s">
        <v>121</v>
      </c>
      <c r="B6138">
        <v>-17284803</v>
      </c>
    </row>
    <row r="6139" spans="1:2" x14ac:dyDescent="0.25">
      <c r="A6139" t="s">
        <v>122</v>
      </c>
      <c r="B6139">
        <v>-17284803</v>
      </c>
    </row>
    <row r="6140" spans="1:2" x14ac:dyDescent="0.25">
      <c r="A6140" t="s">
        <v>123</v>
      </c>
      <c r="B6140">
        <v>-5111915</v>
      </c>
    </row>
    <row r="6141" spans="1:2" x14ac:dyDescent="0.25">
      <c r="A6141" t="s">
        <v>124</v>
      </c>
      <c r="B6141">
        <v>0</v>
      </c>
    </row>
    <row r="6142" spans="1:2" x14ac:dyDescent="0.25">
      <c r="A6142" t="s">
        <v>125</v>
      </c>
      <c r="B6142">
        <v>-26123326</v>
      </c>
    </row>
    <row r="6143" spans="1:2" x14ac:dyDescent="0.25">
      <c r="A6143" t="s">
        <v>126</v>
      </c>
      <c r="B6143">
        <v>0</v>
      </c>
    </row>
    <row r="6144" spans="1:2" x14ac:dyDescent="0.25">
      <c r="A6144" t="s">
        <v>127</v>
      </c>
      <c r="B6144">
        <v>0</v>
      </c>
    </row>
    <row r="6145" spans="1:2" x14ac:dyDescent="0.25">
      <c r="A6145" t="s">
        <v>128</v>
      </c>
      <c r="B6145">
        <v>-26123326</v>
      </c>
    </row>
    <row r="6146" spans="1:2" x14ac:dyDescent="0.25">
      <c r="A6146" t="s">
        <v>129</v>
      </c>
      <c r="B6146">
        <v>-31235241</v>
      </c>
    </row>
    <row r="6147" spans="1:2" x14ac:dyDescent="0.25">
      <c r="A6147" t="s">
        <v>130</v>
      </c>
      <c r="B6147">
        <v>-38004220</v>
      </c>
    </row>
    <row r="6148" spans="1:2" x14ac:dyDescent="0.25">
      <c r="A6148" t="s">
        <v>131</v>
      </c>
      <c r="B6148">
        <v>0</v>
      </c>
    </row>
    <row r="6149" spans="1:2" x14ac:dyDescent="0.25">
      <c r="A6149" t="s">
        <v>132</v>
      </c>
      <c r="B6149">
        <v>-69239461</v>
      </c>
    </row>
    <row r="6150" spans="1:2" x14ac:dyDescent="0.25">
      <c r="A6150" t="s">
        <v>133</v>
      </c>
      <c r="B6150">
        <v>0</v>
      </c>
    </row>
    <row r="6151" spans="1:2" x14ac:dyDescent="0.25">
      <c r="A6151" t="s">
        <v>134</v>
      </c>
      <c r="B6151">
        <v>96677155</v>
      </c>
    </row>
    <row r="6152" spans="1:2" x14ac:dyDescent="0.25">
      <c r="A6152" t="s">
        <v>135</v>
      </c>
      <c r="B6152">
        <v>27437694</v>
      </c>
    </row>
    <row r="7001" spans="1:2" x14ac:dyDescent="0.25">
      <c r="A7001" t="s">
        <v>0</v>
      </c>
      <c r="B7001" t="s">
        <v>154</v>
      </c>
    </row>
    <row r="7002" spans="1:2" x14ac:dyDescent="0.25">
      <c r="A7002" t="s">
        <v>1</v>
      </c>
    </row>
    <row r="7003" spans="1:2" x14ac:dyDescent="0.25">
      <c r="A7003" t="s">
        <v>2</v>
      </c>
      <c r="B7003">
        <v>283019861</v>
      </c>
    </row>
    <row r="7004" spans="1:2" x14ac:dyDescent="0.25">
      <c r="A7004" t="s">
        <v>3</v>
      </c>
      <c r="B7004">
        <v>31570908</v>
      </c>
    </row>
    <row r="7005" spans="1:2" x14ac:dyDescent="0.25">
      <c r="A7005" t="s">
        <v>4</v>
      </c>
      <c r="B7005">
        <v>250858196</v>
      </c>
    </row>
    <row r="7006" spans="1:2" x14ac:dyDescent="0.25">
      <c r="A7006" t="s">
        <v>5</v>
      </c>
      <c r="B7006">
        <v>0</v>
      </c>
    </row>
    <row r="7007" spans="1:2" x14ac:dyDescent="0.25">
      <c r="A7007" t="s">
        <v>6</v>
      </c>
      <c r="B7007">
        <v>0</v>
      </c>
    </row>
    <row r="7008" spans="1:2" x14ac:dyDescent="0.25">
      <c r="A7008" t="s">
        <v>7</v>
      </c>
      <c r="B7008">
        <v>2877</v>
      </c>
    </row>
    <row r="7009" spans="1:2" x14ac:dyDescent="0.25">
      <c r="A7009" t="s">
        <v>8</v>
      </c>
      <c r="B7009">
        <v>0</v>
      </c>
    </row>
    <row r="7010" spans="1:2" x14ac:dyDescent="0.25">
      <c r="A7010" t="s">
        <v>9</v>
      </c>
      <c r="B7010">
        <v>0</v>
      </c>
    </row>
    <row r="7011" spans="1:2" x14ac:dyDescent="0.25">
      <c r="A7011" t="s">
        <v>10</v>
      </c>
      <c r="B7011">
        <v>0</v>
      </c>
    </row>
    <row r="7012" spans="1:2" x14ac:dyDescent="0.25">
      <c r="A7012" t="s">
        <v>11</v>
      </c>
      <c r="B7012">
        <v>587880</v>
      </c>
    </row>
    <row r="7013" spans="1:2" x14ac:dyDescent="0.25">
      <c r="A7013" t="s">
        <v>12</v>
      </c>
      <c r="B7013">
        <v>283019861</v>
      </c>
    </row>
    <row r="7014" spans="1:2" x14ac:dyDescent="0.25">
      <c r="A7014" t="s">
        <v>13</v>
      </c>
      <c r="B7014">
        <v>0</v>
      </c>
    </row>
    <row r="7015" spans="1:2" x14ac:dyDescent="0.25">
      <c r="A7015" t="s">
        <v>14</v>
      </c>
      <c r="B7015">
        <v>176364</v>
      </c>
    </row>
    <row r="7016" spans="1:2" x14ac:dyDescent="0.25">
      <c r="A7016" t="s">
        <v>5</v>
      </c>
      <c r="B7016">
        <v>0</v>
      </c>
    </row>
    <row r="7017" spans="1:2" x14ac:dyDescent="0.25">
      <c r="A7017" t="s">
        <v>6</v>
      </c>
      <c r="B7017">
        <v>0</v>
      </c>
    </row>
    <row r="7018" spans="1:2" x14ac:dyDescent="0.25">
      <c r="A7018" t="s">
        <v>7</v>
      </c>
      <c r="B7018">
        <v>0</v>
      </c>
    </row>
    <row r="7019" spans="1:2" x14ac:dyDescent="0.25">
      <c r="A7019" t="s">
        <v>8</v>
      </c>
      <c r="B7019">
        <v>0</v>
      </c>
    </row>
    <row r="7020" spans="1:2" x14ac:dyDescent="0.25">
      <c r="A7020" t="s">
        <v>4</v>
      </c>
      <c r="B7020">
        <v>0</v>
      </c>
    </row>
    <row r="7021" spans="1:2" x14ac:dyDescent="0.25">
      <c r="A7021" t="s">
        <v>15</v>
      </c>
      <c r="B7021">
        <v>0</v>
      </c>
    </row>
    <row r="7022" spans="1:2" x14ac:dyDescent="0.25">
      <c r="A7022" t="s">
        <v>10</v>
      </c>
      <c r="B7022">
        <v>0</v>
      </c>
    </row>
    <row r="7023" spans="1:2" x14ac:dyDescent="0.25">
      <c r="A7023" t="s">
        <v>16</v>
      </c>
      <c r="B7023">
        <v>0</v>
      </c>
    </row>
    <row r="7024" spans="1:2" x14ac:dyDescent="0.25">
      <c r="A7024" t="s">
        <v>9</v>
      </c>
      <c r="B7024">
        <v>0</v>
      </c>
    </row>
    <row r="7025" spans="1:2" x14ac:dyDescent="0.25">
      <c r="A7025" t="s">
        <v>17</v>
      </c>
      <c r="B7025">
        <v>0</v>
      </c>
    </row>
    <row r="7026" spans="1:2" x14ac:dyDescent="0.25">
      <c r="A7026" t="s">
        <v>18</v>
      </c>
      <c r="B7026">
        <v>176364</v>
      </c>
    </row>
    <row r="7027" spans="1:2" x14ac:dyDescent="0.25">
      <c r="A7027" t="s">
        <v>19</v>
      </c>
      <c r="B7027">
        <v>0</v>
      </c>
    </row>
    <row r="7028" spans="1:2" x14ac:dyDescent="0.25">
      <c r="A7028" t="s">
        <v>20</v>
      </c>
      <c r="B7028">
        <v>0</v>
      </c>
    </row>
    <row r="7029" spans="1:2" x14ac:dyDescent="0.25">
      <c r="A7029" t="s">
        <v>21</v>
      </c>
      <c r="B7029">
        <v>0</v>
      </c>
    </row>
    <row r="7030" spans="1:2" x14ac:dyDescent="0.25">
      <c r="A7030" t="s">
        <v>22</v>
      </c>
      <c r="B7030">
        <v>0</v>
      </c>
    </row>
    <row r="7031" spans="1:2" x14ac:dyDescent="0.25">
      <c r="A7031" t="s">
        <v>23</v>
      </c>
      <c r="B7031">
        <v>283196225</v>
      </c>
    </row>
    <row r="7032" spans="1:2" x14ac:dyDescent="0.25">
      <c r="A7032" t="s">
        <v>24</v>
      </c>
      <c r="B7032">
        <v>0</v>
      </c>
    </row>
    <row r="7033" spans="1:2" x14ac:dyDescent="0.25">
      <c r="A7033" t="s">
        <v>25</v>
      </c>
      <c r="B7033">
        <v>1516159</v>
      </c>
    </row>
    <row r="7034" spans="1:2" x14ac:dyDescent="0.25">
      <c r="A7034" t="s">
        <v>26</v>
      </c>
      <c r="B7034">
        <v>0</v>
      </c>
    </row>
    <row r="7035" spans="1:2" x14ac:dyDescent="0.25">
      <c r="A7035" t="s">
        <v>27</v>
      </c>
      <c r="B7035">
        <v>0</v>
      </c>
    </row>
    <row r="7036" spans="1:2" x14ac:dyDescent="0.25">
      <c r="A7036" t="s">
        <v>28</v>
      </c>
      <c r="B7036">
        <v>1241593</v>
      </c>
    </row>
    <row r="7037" spans="1:2" x14ac:dyDescent="0.25">
      <c r="A7037" t="s">
        <v>29</v>
      </c>
      <c r="B7037">
        <v>9221</v>
      </c>
    </row>
    <row r="7038" spans="1:2" x14ac:dyDescent="0.25">
      <c r="A7038" t="s">
        <v>30</v>
      </c>
      <c r="B7038">
        <v>0</v>
      </c>
    </row>
    <row r="7039" spans="1:2" x14ac:dyDescent="0.25">
      <c r="A7039" t="s">
        <v>31</v>
      </c>
      <c r="B7039">
        <v>0</v>
      </c>
    </row>
    <row r="7040" spans="1:2" x14ac:dyDescent="0.25">
      <c r="A7040" t="s">
        <v>32</v>
      </c>
      <c r="B7040">
        <v>0</v>
      </c>
    </row>
    <row r="7041" spans="1:2" x14ac:dyDescent="0.25">
      <c r="A7041" t="s">
        <v>33</v>
      </c>
      <c r="B7041">
        <v>0</v>
      </c>
    </row>
    <row r="7042" spans="1:2" x14ac:dyDescent="0.25">
      <c r="A7042" t="s">
        <v>34</v>
      </c>
      <c r="B7042">
        <v>0</v>
      </c>
    </row>
    <row r="7043" spans="1:2" x14ac:dyDescent="0.25">
      <c r="A7043" t="s">
        <v>35</v>
      </c>
      <c r="B7043">
        <v>169445</v>
      </c>
    </row>
    <row r="7044" spans="1:2" x14ac:dyDescent="0.25">
      <c r="A7044" t="s">
        <v>36</v>
      </c>
      <c r="B7044">
        <v>95900</v>
      </c>
    </row>
    <row r="7045" spans="1:2" x14ac:dyDescent="0.25">
      <c r="A7045" t="s">
        <v>12</v>
      </c>
      <c r="B7045">
        <v>1516159</v>
      </c>
    </row>
    <row r="7046" spans="1:2" x14ac:dyDescent="0.25">
      <c r="A7046" t="s">
        <v>37</v>
      </c>
      <c r="B7046">
        <v>0</v>
      </c>
    </row>
    <row r="7047" spans="1:2" x14ac:dyDescent="0.25">
      <c r="A7047" t="s">
        <v>38</v>
      </c>
      <c r="B7047">
        <v>590304</v>
      </c>
    </row>
    <row r="7048" spans="1:2" x14ac:dyDescent="0.25">
      <c r="A7048" t="s">
        <v>26</v>
      </c>
      <c r="B7048">
        <v>0</v>
      </c>
    </row>
    <row r="7049" spans="1:2" x14ac:dyDescent="0.25">
      <c r="A7049" t="s">
        <v>27</v>
      </c>
      <c r="B7049">
        <v>0</v>
      </c>
    </row>
    <row r="7050" spans="1:2" x14ac:dyDescent="0.25">
      <c r="A7050" t="s">
        <v>28</v>
      </c>
      <c r="B7050">
        <v>0</v>
      </c>
    </row>
    <row r="7051" spans="1:2" x14ac:dyDescent="0.25">
      <c r="A7051" t="s">
        <v>29</v>
      </c>
      <c r="B7051">
        <v>0</v>
      </c>
    </row>
    <row r="7052" spans="1:2" x14ac:dyDescent="0.25">
      <c r="A7052" t="s">
        <v>39</v>
      </c>
      <c r="B7052">
        <v>0</v>
      </c>
    </row>
    <row r="7053" spans="1:2" x14ac:dyDescent="0.25">
      <c r="A7053" t="s">
        <v>31</v>
      </c>
      <c r="B7053">
        <v>0</v>
      </c>
    </row>
    <row r="7054" spans="1:2" x14ac:dyDescent="0.25">
      <c r="A7054" t="s">
        <v>32</v>
      </c>
      <c r="B7054">
        <v>0</v>
      </c>
    </row>
    <row r="7055" spans="1:2" x14ac:dyDescent="0.25">
      <c r="A7055" t="s">
        <v>40</v>
      </c>
      <c r="B7055">
        <v>0</v>
      </c>
    </row>
    <row r="7056" spans="1:2" x14ac:dyDescent="0.25">
      <c r="A7056" t="s">
        <v>41</v>
      </c>
      <c r="B7056">
        <v>590304</v>
      </c>
    </row>
    <row r="7057" spans="1:2" x14ac:dyDescent="0.25">
      <c r="A7057" t="s">
        <v>42</v>
      </c>
      <c r="B7057">
        <v>0</v>
      </c>
    </row>
    <row r="7058" spans="1:2" x14ac:dyDescent="0.25">
      <c r="A7058" t="s">
        <v>43</v>
      </c>
      <c r="B7058">
        <v>0</v>
      </c>
    </row>
    <row r="7059" spans="1:2" x14ac:dyDescent="0.25">
      <c r="A7059" t="s">
        <v>44</v>
      </c>
      <c r="B7059">
        <v>0</v>
      </c>
    </row>
    <row r="7060" spans="1:2" x14ac:dyDescent="0.25">
      <c r="A7060" t="s">
        <v>45</v>
      </c>
      <c r="B7060">
        <v>281089762</v>
      </c>
    </row>
    <row r="7061" spans="1:2" x14ac:dyDescent="0.25">
      <c r="A7061" t="s">
        <v>46</v>
      </c>
      <c r="B7061">
        <v>281089762</v>
      </c>
    </row>
    <row r="7062" spans="1:2" x14ac:dyDescent="0.25">
      <c r="A7062" t="s">
        <v>47</v>
      </c>
      <c r="B7062">
        <v>42000000</v>
      </c>
    </row>
    <row r="7063" spans="1:2" x14ac:dyDescent="0.25">
      <c r="A7063" t="s">
        <v>48</v>
      </c>
      <c r="B7063">
        <v>0</v>
      </c>
    </row>
    <row r="7064" spans="1:2" x14ac:dyDescent="0.25">
      <c r="A7064" t="s">
        <v>49</v>
      </c>
      <c r="B7064">
        <v>2475242</v>
      </c>
    </row>
    <row r="7065" spans="1:2" x14ac:dyDescent="0.25">
      <c r="A7065" t="s">
        <v>50</v>
      </c>
      <c r="B7065">
        <v>0</v>
      </c>
    </row>
    <row r="7066" spans="1:2" x14ac:dyDescent="0.25">
      <c r="A7066" t="s">
        <v>51</v>
      </c>
      <c r="B7066">
        <v>0</v>
      </c>
    </row>
    <row r="7067" spans="1:2" x14ac:dyDescent="0.25">
      <c r="A7067" t="s">
        <v>52</v>
      </c>
      <c r="B7067">
        <v>29554554</v>
      </c>
    </row>
    <row r="7068" spans="1:2" x14ac:dyDescent="0.25">
      <c r="A7068" t="s">
        <v>53</v>
      </c>
      <c r="B7068">
        <v>-146115939</v>
      </c>
    </row>
    <row r="7069" spans="1:2" x14ac:dyDescent="0.25">
      <c r="A7069" t="s">
        <v>54</v>
      </c>
      <c r="B7069">
        <v>-69281706</v>
      </c>
    </row>
    <row r="7070" spans="1:2" x14ac:dyDescent="0.25">
      <c r="A7070" t="s">
        <v>55</v>
      </c>
      <c r="B7070">
        <v>422457611</v>
      </c>
    </row>
    <row r="7071" spans="1:2" x14ac:dyDescent="0.25">
      <c r="A7071" t="s">
        <v>56</v>
      </c>
      <c r="B7071">
        <v>0</v>
      </c>
    </row>
    <row r="7072" spans="1:2" x14ac:dyDescent="0.25">
      <c r="A7072" t="s">
        <v>57</v>
      </c>
      <c r="B7072">
        <v>283196225</v>
      </c>
    </row>
    <row r="7073" spans="1:2" x14ac:dyDescent="0.25">
      <c r="A7073" t="s">
        <v>58</v>
      </c>
    </row>
    <row r="7074" spans="1:2" x14ac:dyDescent="0.25">
      <c r="A7074" t="s">
        <v>59</v>
      </c>
      <c r="B7074">
        <v>0</v>
      </c>
    </row>
    <row r="7075" spans="1:2" x14ac:dyDescent="0.25">
      <c r="A7075" t="s">
        <v>60</v>
      </c>
      <c r="B7075">
        <v>4875076791</v>
      </c>
    </row>
    <row r="7076" spans="1:2" x14ac:dyDescent="0.25">
      <c r="A7076" t="s">
        <v>61</v>
      </c>
      <c r="B7076">
        <v>-4791014716</v>
      </c>
    </row>
    <row r="7077" spans="1:2" x14ac:dyDescent="0.25">
      <c r="A7077" t="s">
        <v>62</v>
      </c>
      <c r="B7077">
        <v>0</v>
      </c>
    </row>
    <row r="7078" spans="1:2" x14ac:dyDescent="0.25">
      <c r="A7078" t="s">
        <v>63</v>
      </c>
      <c r="B7078">
        <v>84062075</v>
      </c>
    </row>
    <row r="7079" spans="1:2" x14ac:dyDescent="0.25">
      <c r="A7079" t="s">
        <v>64</v>
      </c>
      <c r="B7079">
        <v>0</v>
      </c>
    </row>
    <row r="7080" spans="1:2" x14ac:dyDescent="0.25">
      <c r="A7080" t="s">
        <v>65</v>
      </c>
      <c r="B7080">
        <v>0</v>
      </c>
    </row>
    <row r="7081" spans="1:2" x14ac:dyDescent="0.25">
      <c r="A7081" t="s">
        <v>66</v>
      </c>
      <c r="B7081">
        <v>0</v>
      </c>
    </row>
    <row r="7082" spans="1:2" x14ac:dyDescent="0.25">
      <c r="A7082" t="s">
        <v>67</v>
      </c>
      <c r="B7082">
        <v>0</v>
      </c>
    </row>
    <row r="7083" spans="1:2" x14ac:dyDescent="0.25">
      <c r="A7083" t="s">
        <v>68</v>
      </c>
      <c r="B7083">
        <v>0</v>
      </c>
    </row>
    <row r="7084" spans="1:2" x14ac:dyDescent="0.25">
      <c r="A7084" t="s">
        <v>69</v>
      </c>
      <c r="B7084">
        <v>84062075</v>
      </c>
    </row>
    <row r="7085" spans="1:2" x14ac:dyDescent="0.25">
      <c r="A7085" t="s">
        <v>70</v>
      </c>
      <c r="B7085">
        <v>0</v>
      </c>
    </row>
    <row r="7086" spans="1:2" x14ac:dyDescent="0.25">
      <c r="A7086" t="s">
        <v>71</v>
      </c>
      <c r="B7086">
        <v>-5564194</v>
      </c>
    </row>
    <row r="7087" spans="1:2" x14ac:dyDescent="0.25">
      <c r="A7087" t="s">
        <v>72</v>
      </c>
      <c r="B7087">
        <v>0</v>
      </c>
    </row>
    <row r="7088" spans="1:2" x14ac:dyDescent="0.25">
      <c r="A7088" t="s">
        <v>73</v>
      </c>
      <c r="B7088">
        <v>92049</v>
      </c>
    </row>
    <row r="7089" spans="1:2" x14ac:dyDescent="0.25">
      <c r="A7089" t="s">
        <v>74</v>
      </c>
      <c r="B7089">
        <v>0</v>
      </c>
    </row>
    <row r="7090" spans="1:2" x14ac:dyDescent="0.25">
      <c r="A7090" t="s">
        <v>75</v>
      </c>
      <c r="B7090">
        <v>0</v>
      </c>
    </row>
    <row r="7091" spans="1:2" x14ac:dyDescent="0.25">
      <c r="A7091" t="s">
        <v>76</v>
      </c>
      <c r="B7091">
        <v>78589930</v>
      </c>
    </row>
    <row r="7092" spans="1:2" x14ac:dyDescent="0.25">
      <c r="A7092" t="s">
        <v>77</v>
      </c>
      <c r="B7092">
        <v>78497881</v>
      </c>
    </row>
    <row r="7093" spans="1:2" x14ac:dyDescent="0.25">
      <c r="A7093" t="s">
        <v>78</v>
      </c>
      <c r="B7093">
        <v>0</v>
      </c>
    </row>
    <row r="7094" spans="1:2" x14ac:dyDescent="0.25">
      <c r="A7094" t="s">
        <v>79</v>
      </c>
      <c r="B7094">
        <v>0</v>
      </c>
    </row>
    <row r="7095" spans="1:2" x14ac:dyDescent="0.25">
      <c r="A7095" t="s">
        <v>68</v>
      </c>
      <c r="B7095">
        <v>0</v>
      </c>
    </row>
    <row r="7096" spans="1:2" x14ac:dyDescent="0.25">
      <c r="A7096" t="s">
        <v>80</v>
      </c>
      <c r="B7096">
        <v>0</v>
      </c>
    </row>
    <row r="7097" spans="1:2" x14ac:dyDescent="0.25">
      <c r="A7097" t="s">
        <v>81</v>
      </c>
      <c r="B7097">
        <v>78589930</v>
      </c>
    </row>
    <row r="7098" spans="1:2" x14ac:dyDescent="0.25">
      <c r="A7098" t="s">
        <v>82</v>
      </c>
      <c r="B7098">
        <v>0</v>
      </c>
    </row>
    <row r="7099" spans="1:2" x14ac:dyDescent="0.25">
      <c r="A7099" t="s">
        <v>83</v>
      </c>
      <c r="B7099">
        <v>-138801383</v>
      </c>
    </row>
    <row r="7100" spans="1:2" x14ac:dyDescent="0.25">
      <c r="A7100" t="s">
        <v>84</v>
      </c>
      <c r="B7100">
        <v>0</v>
      </c>
    </row>
    <row r="7101" spans="1:2" x14ac:dyDescent="0.25">
      <c r="A7101" t="s">
        <v>85</v>
      </c>
      <c r="B7101">
        <v>-60211453</v>
      </c>
    </row>
    <row r="7102" spans="1:2" x14ac:dyDescent="0.25">
      <c r="A7102" t="s">
        <v>86</v>
      </c>
      <c r="B7102">
        <v>0</v>
      </c>
    </row>
    <row r="7103" spans="1:2" x14ac:dyDescent="0.25">
      <c r="A7103" t="s">
        <v>87</v>
      </c>
      <c r="B7103">
        <v>0</v>
      </c>
    </row>
    <row r="7104" spans="1:2" x14ac:dyDescent="0.25">
      <c r="A7104" t="s">
        <v>88</v>
      </c>
      <c r="B7104">
        <v>0</v>
      </c>
    </row>
    <row r="7105" spans="1:2" x14ac:dyDescent="0.25">
      <c r="A7105" t="s">
        <v>89</v>
      </c>
      <c r="B7105">
        <v>0</v>
      </c>
    </row>
    <row r="7106" spans="1:2" x14ac:dyDescent="0.25">
      <c r="A7106" t="s">
        <v>90</v>
      </c>
      <c r="B7106">
        <v>-60211453</v>
      </c>
    </row>
    <row r="7107" spans="1:2" x14ac:dyDescent="0.25">
      <c r="A7107" t="s">
        <v>91</v>
      </c>
      <c r="B7107">
        <v>0</v>
      </c>
    </row>
    <row r="7108" spans="1:2" x14ac:dyDescent="0.25">
      <c r="A7108" t="s">
        <v>92</v>
      </c>
      <c r="B7108">
        <v>0</v>
      </c>
    </row>
    <row r="7109" spans="1:2" x14ac:dyDescent="0.25">
      <c r="A7109" t="s">
        <v>93</v>
      </c>
      <c r="B7109">
        <v>-60211453</v>
      </c>
    </row>
    <row r="7110" spans="1:2" x14ac:dyDescent="0.25">
      <c r="A7110" t="s">
        <v>94</v>
      </c>
      <c r="B7110">
        <v>0</v>
      </c>
    </row>
    <row r="7111" spans="1:2" x14ac:dyDescent="0.25">
      <c r="A7111" t="s">
        <v>56</v>
      </c>
      <c r="B7111">
        <v>0</v>
      </c>
    </row>
    <row r="7112" spans="1:2" x14ac:dyDescent="0.25">
      <c r="A7112" t="s">
        <v>95</v>
      </c>
      <c r="B7112">
        <v>-60211453</v>
      </c>
    </row>
    <row r="7113" spans="1:2" x14ac:dyDescent="0.25">
      <c r="A7113" t="s">
        <v>96</v>
      </c>
      <c r="B7113">
        <v>-1</v>
      </c>
    </row>
    <row r="7114" spans="1:2" x14ac:dyDescent="0.25">
      <c r="A7114" t="s">
        <v>97</v>
      </c>
      <c r="B7114">
        <v>0</v>
      </c>
    </row>
    <row r="7115" spans="1:2" x14ac:dyDescent="0.25">
      <c r="A7115" t="s">
        <v>98</v>
      </c>
      <c r="B7115">
        <v>0</v>
      </c>
    </row>
    <row r="7116" spans="1:2" x14ac:dyDescent="0.25">
      <c r="A7116" t="s">
        <v>99</v>
      </c>
      <c r="B7116">
        <v>0</v>
      </c>
    </row>
    <row r="7117" spans="1:2" x14ac:dyDescent="0.25">
      <c r="A7117" t="s">
        <v>100</v>
      </c>
    </row>
    <row r="7118" spans="1:2" x14ac:dyDescent="0.25">
      <c r="A7118" t="s">
        <v>101</v>
      </c>
      <c r="B7118">
        <v>79304</v>
      </c>
    </row>
    <row r="7119" spans="1:2" x14ac:dyDescent="0.25">
      <c r="A7119" t="s">
        <v>102</v>
      </c>
      <c r="B7119">
        <v>48256</v>
      </c>
    </row>
    <row r="7120" spans="1:2" x14ac:dyDescent="0.25">
      <c r="A7120" t="s">
        <v>103</v>
      </c>
      <c r="B7120">
        <v>-138801383</v>
      </c>
    </row>
    <row r="7121" spans="1:2" x14ac:dyDescent="0.25">
      <c r="A7121" t="s">
        <v>104</v>
      </c>
      <c r="B7121">
        <v>0</v>
      </c>
    </row>
    <row r="7122" spans="1:2" x14ac:dyDescent="0.25">
      <c r="A7122" t="s">
        <v>105</v>
      </c>
      <c r="B7122">
        <v>0</v>
      </c>
    </row>
    <row r="7123" spans="1:2" x14ac:dyDescent="0.25">
      <c r="A7123" t="s">
        <v>106</v>
      </c>
      <c r="B7123">
        <v>0</v>
      </c>
    </row>
    <row r="7124" spans="1:2" x14ac:dyDescent="0.25">
      <c r="A7124" t="s">
        <v>107</v>
      </c>
      <c r="B7124">
        <v>0</v>
      </c>
    </row>
    <row r="7125" spans="1:2" x14ac:dyDescent="0.25">
      <c r="A7125" t="s">
        <v>108</v>
      </c>
      <c r="B7125">
        <v>0</v>
      </c>
    </row>
    <row r="7126" spans="1:2" x14ac:dyDescent="0.25">
      <c r="A7126" t="s">
        <v>109</v>
      </c>
    </row>
    <row r="7127" spans="1:2" x14ac:dyDescent="0.25">
      <c r="A7127" t="s">
        <v>110</v>
      </c>
      <c r="B7127">
        <v>12172888</v>
      </c>
    </row>
    <row r="7128" spans="1:2" x14ac:dyDescent="0.25">
      <c r="A7128" t="s">
        <v>111</v>
      </c>
      <c r="B7128">
        <v>-60211453</v>
      </c>
    </row>
    <row r="7129" spans="1:2" x14ac:dyDescent="0.25">
      <c r="A7129" t="s">
        <v>112</v>
      </c>
      <c r="B7129">
        <v>112721897</v>
      </c>
    </row>
    <row r="7130" spans="1:2" x14ac:dyDescent="0.25">
      <c r="A7130" t="s">
        <v>113</v>
      </c>
      <c r="B7130">
        <v>79304</v>
      </c>
    </row>
    <row r="7131" spans="1:2" x14ac:dyDescent="0.25">
      <c r="A7131" t="s">
        <v>114</v>
      </c>
      <c r="B7131">
        <v>145596</v>
      </c>
    </row>
    <row r="7132" spans="1:2" x14ac:dyDescent="0.25">
      <c r="A7132" t="s">
        <v>115</v>
      </c>
      <c r="B7132">
        <v>112496997</v>
      </c>
    </row>
    <row r="7133" spans="1:2" x14ac:dyDescent="0.25">
      <c r="A7133" t="s">
        <v>116</v>
      </c>
      <c r="B7133">
        <v>52510444</v>
      </c>
    </row>
    <row r="7134" spans="1:2" x14ac:dyDescent="0.25">
      <c r="A7134" t="s">
        <v>117</v>
      </c>
      <c r="B7134">
        <v>-40337556</v>
      </c>
    </row>
    <row r="7135" spans="1:2" x14ac:dyDescent="0.25">
      <c r="A7135" t="s">
        <v>118</v>
      </c>
      <c r="B7135">
        <v>12172888</v>
      </c>
    </row>
    <row r="7136" spans="1:2" x14ac:dyDescent="0.25">
      <c r="A7136" t="s">
        <v>119</v>
      </c>
      <c r="B7136">
        <v>0</v>
      </c>
    </row>
    <row r="7137" spans="1:2" x14ac:dyDescent="0.25">
      <c r="A7137" t="s">
        <v>120</v>
      </c>
      <c r="B7137">
        <v>0</v>
      </c>
    </row>
    <row r="7138" spans="1:2" x14ac:dyDescent="0.25">
      <c r="A7138" t="s">
        <v>121</v>
      </c>
      <c r="B7138">
        <v>-17284803</v>
      </c>
    </row>
    <row r="7139" spans="1:2" x14ac:dyDescent="0.25">
      <c r="A7139" t="s">
        <v>122</v>
      </c>
      <c r="B7139">
        <v>-17284803</v>
      </c>
    </row>
    <row r="7140" spans="1:2" x14ac:dyDescent="0.25">
      <c r="A7140" t="s">
        <v>123</v>
      </c>
      <c r="B7140">
        <v>-5111915</v>
      </c>
    </row>
    <row r="7141" spans="1:2" x14ac:dyDescent="0.25">
      <c r="A7141" t="s">
        <v>124</v>
      </c>
      <c r="B7141">
        <v>0</v>
      </c>
    </row>
    <row r="7142" spans="1:2" x14ac:dyDescent="0.25">
      <c r="A7142" t="s">
        <v>125</v>
      </c>
      <c r="B7142">
        <v>-26123326</v>
      </c>
    </row>
    <row r="7143" spans="1:2" x14ac:dyDescent="0.25">
      <c r="A7143" t="s">
        <v>126</v>
      </c>
      <c r="B7143">
        <v>0</v>
      </c>
    </row>
    <row r="7144" spans="1:2" x14ac:dyDescent="0.25">
      <c r="A7144" t="s">
        <v>127</v>
      </c>
      <c r="B7144">
        <v>0</v>
      </c>
    </row>
    <row r="7145" spans="1:2" x14ac:dyDescent="0.25">
      <c r="A7145" t="s">
        <v>128</v>
      </c>
      <c r="B7145">
        <v>-26123326</v>
      </c>
    </row>
    <row r="7146" spans="1:2" x14ac:dyDescent="0.25">
      <c r="A7146" t="s">
        <v>129</v>
      </c>
      <c r="B7146">
        <v>-31235241</v>
      </c>
    </row>
    <row r="7147" spans="1:2" x14ac:dyDescent="0.25">
      <c r="A7147" t="s">
        <v>130</v>
      </c>
      <c r="B7147">
        <v>-38004220</v>
      </c>
    </row>
    <row r="7148" spans="1:2" x14ac:dyDescent="0.25">
      <c r="A7148" t="s">
        <v>131</v>
      </c>
      <c r="B7148">
        <v>0</v>
      </c>
    </row>
    <row r="7149" spans="1:2" x14ac:dyDescent="0.25">
      <c r="A7149" t="s">
        <v>132</v>
      </c>
      <c r="B7149">
        <v>-69239461</v>
      </c>
    </row>
    <row r="7150" spans="1:2" x14ac:dyDescent="0.25">
      <c r="A7150" t="s">
        <v>133</v>
      </c>
      <c r="B7150">
        <v>0</v>
      </c>
    </row>
    <row r="7151" spans="1:2" x14ac:dyDescent="0.25">
      <c r="A7151" t="s">
        <v>134</v>
      </c>
      <c r="B7151">
        <v>96677155</v>
      </c>
    </row>
    <row r="7152" spans="1:2" x14ac:dyDescent="0.25">
      <c r="A7152" t="s">
        <v>135</v>
      </c>
      <c r="B7152">
        <v>27437694</v>
      </c>
    </row>
    <row r="8001" spans="1:2" x14ac:dyDescent="0.25">
      <c r="A8001" t="s">
        <v>0</v>
      </c>
      <c r="B8001" t="s">
        <v>154</v>
      </c>
    </row>
    <row r="8002" spans="1:2" x14ac:dyDescent="0.25">
      <c r="A8002" t="s">
        <v>1</v>
      </c>
    </row>
    <row r="8003" spans="1:2" x14ac:dyDescent="0.25">
      <c r="A8003" t="s">
        <v>2</v>
      </c>
      <c r="B8003">
        <v>283019861</v>
      </c>
    </row>
    <row r="8004" spans="1:2" x14ac:dyDescent="0.25">
      <c r="A8004" t="s">
        <v>3</v>
      </c>
      <c r="B8004">
        <v>31570908</v>
      </c>
    </row>
    <row r="8005" spans="1:2" x14ac:dyDescent="0.25">
      <c r="A8005" t="s">
        <v>4</v>
      </c>
      <c r="B8005">
        <v>250858196</v>
      </c>
    </row>
    <row r="8006" spans="1:2" x14ac:dyDescent="0.25">
      <c r="A8006" t="s">
        <v>5</v>
      </c>
      <c r="B8006">
        <v>0</v>
      </c>
    </row>
    <row r="8007" spans="1:2" x14ac:dyDescent="0.25">
      <c r="A8007" t="s">
        <v>6</v>
      </c>
      <c r="B8007">
        <v>0</v>
      </c>
    </row>
    <row r="8008" spans="1:2" x14ac:dyDescent="0.25">
      <c r="A8008" t="s">
        <v>7</v>
      </c>
      <c r="B8008">
        <v>2877</v>
      </c>
    </row>
    <row r="8009" spans="1:2" x14ac:dyDescent="0.25">
      <c r="A8009" t="s">
        <v>8</v>
      </c>
      <c r="B8009">
        <v>0</v>
      </c>
    </row>
    <row r="8010" spans="1:2" x14ac:dyDescent="0.25">
      <c r="A8010" t="s">
        <v>9</v>
      </c>
      <c r="B8010">
        <v>0</v>
      </c>
    </row>
    <row r="8011" spans="1:2" x14ac:dyDescent="0.25">
      <c r="A8011" t="s">
        <v>10</v>
      </c>
      <c r="B8011">
        <v>0</v>
      </c>
    </row>
    <row r="8012" spans="1:2" x14ac:dyDescent="0.25">
      <c r="A8012" t="s">
        <v>11</v>
      </c>
      <c r="B8012">
        <v>587880</v>
      </c>
    </row>
    <row r="8013" spans="1:2" x14ac:dyDescent="0.25">
      <c r="A8013" t="s">
        <v>12</v>
      </c>
      <c r="B8013">
        <v>283019861</v>
      </c>
    </row>
    <row r="8014" spans="1:2" x14ac:dyDescent="0.25">
      <c r="A8014" t="s">
        <v>13</v>
      </c>
      <c r="B8014">
        <v>0</v>
      </c>
    </row>
    <row r="8015" spans="1:2" x14ac:dyDescent="0.25">
      <c r="A8015" t="s">
        <v>14</v>
      </c>
      <c r="B8015">
        <v>176364</v>
      </c>
    </row>
    <row r="8016" spans="1:2" x14ac:dyDescent="0.25">
      <c r="A8016" t="s">
        <v>5</v>
      </c>
      <c r="B8016">
        <v>0</v>
      </c>
    </row>
    <row r="8017" spans="1:2" x14ac:dyDescent="0.25">
      <c r="A8017" t="s">
        <v>6</v>
      </c>
      <c r="B8017">
        <v>0</v>
      </c>
    </row>
    <row r="8018" spans="1:2" x14ac:dyDescent="0.25">
      <c r="A8018" t="s">
        <v>7</v>
      </c>
      <c r="B8018">
        <v>0</v>
      </c>
    </row>
    <row r="8019" spans="1:2" x14ac:dyDescent="0.25">
      <c r="A8019" t="s">
        <v>8</v>
      </c>
      <c r="B8019">
        <v>0</v>
      </c>
    </row>
    <row r="8020" spans="1:2" x14ac:dyDescent="0.25">
      <c r="A8020" t="s">
        <v>4</v>
      </c>
      <c r="B8020">
        <v>0</v>
      </c>
    </row>
    <row r="8021" spans="1:2" x14ac:dyDescent="0.25">
      <c r="A8021" t="s">
        <v>15</v>
      </c>
      <c r="B8021">
        <v>0</v>
      </c>
    </row>
    <row r="8022" spans="1:2" x14ac:dyDescent="0.25">
      <c r="A8022" t="s">
        <v>10</v>
      </c>
      <c r="B8022">
        <v>0</v>
      </c>
    </row>
    <row r="8023" spans="1:2" x14ac:dyDescent="0.25">
      <c r="A8023" t="s">
        <v>16</v>
      </c>
      <c r="B8023">
        <v>0</v>
      </c>
    </row>
    <row r="8024" spans="1:2" x14ac:dyDescent="0.25">
      <c r="A8024" t="s">
        <v>9</v>
      </c>
      <c r="B8024">
        <v>0</v>
      </c>
    </row>
    <row r="8025" spans="1:2" x14ac:dyDescent="0.25">
      <c r="A8025" t="s">
        <v>17</v>
      </c>
      <c r="B8025">
        <v>0</v>
      </c>
    </row>
    <row r="8026" spans="1:2" x14ac:dyDescent="0.25">
      <c r="A8026" t="s">
        <v>18</v>
      </c>
      <c r="B8026">
        <v>176364</v>
      </c>
    </row>
    <row r="8027" spans="1:2" x14ac:dyDescent="0.25">
      <c r="A8027" t="s">
        <v>19</v>
      </c>
      <c r="B8027">
        <v>0</v>
      </c>
    </row>
    <row r="8028" spans="1:2" x14ac:dyDescent="0.25">
      <c r="A8028" t="s">
        <v>20</v>
      </c>
      <c r="B8028">
        <v>0</v>
      </c>
    </row>
    <row r="8029" spans="1:2" x14ac:dyDescent="0.25">
      <c r="A8029" t="s">
        <v>21</v>
      </c>
      <c r="B8029">
        <v>0</v>
      </c>
    </row>
    <row r="8030" spans="1:2" x14ac:dyDescent="0.25">
      <c r="A8030" t="s">
        <v>22</v>
      </c>
      <c r="B8030">
        <v>0</v>
      </c>
    </row>
    <row r="8031" spans="1:2" x14ac:dyDescent="0.25">
      <c r="A8031" t="s">
        <v>23</v>
      </c>
      <c r="B8031">
        <v>283196225</v>
      </c>
    </row>
    <row r="8032" spans="1:2" x14ac:dyDescent="0.25">
      <c r="A8032" t="s">
        <v>24</v>
      </c>
      <c r="B8032">
        <v>0</v>
      </c>
    </row>
    <row r="8033" spans="1:2" x14ac:dyDescent="0.25">
      <c r="A8033" t="s">
        <v>25</v>
      </c>
      <c r="B8033">
        <v>1516159</v>
      </c>
    </row>
    <row r="8034" spans="1:2" x14ac:dyDescent="0.25">
      <c r="A8034" t="s">
        <v>26</v>
      </c>
      <c r="B8034">
        <v>0</v>
      </c>
    </row>
    <row r="8035" spans="1:2" x14ac:dyDescent="0.25">
      <c r="A8035" t="s">
        <v>27</v>
      </c>
      <c r="B8035">
        <v>0</v>
      </c>
    </row>
    <row r="8036" spans="1:2" x14ac:dyDescent="0.25">
      <c r="A8036" t="s">
        <v>28</v>
      </c>
      <c r="B8036">
        <v>1241593</v>
      </c>
    </row>
    <row r="8037" spans="1:2" x14ac:dyDescent="0.25">
      <c r="A8037" t="s">
        <v>29</v>
      </c>
      <c r="B8037">
        <v>9221</v>
      </c>
    </row>
    <row r="8038" spans="1:2" x14ac:dyDescent="0.25">
      <c r="A8038" t="s">
        <v>30</v>
      </c>
      <c r="B8038">
        <v>0</v>
      </c>
    </row>
    <row r="8039" spans="1:2" x14ac:dyDescent="0.25">
      <c r="A8039" t="s">
        <v>31</v>
      </c>
      <c r="B8039">
        <v>0</v>
      </c>
    </row>
    <row r="8040" spans="1:2" x14ac:dyDescent="0.25">
      <c r="A8040" t="s">
        <v>32</v>
      </c>
      <c r="B8040">
        <v>0</v>
      </c>
    </row>
    <row r="8041" spans="1:2" x14ac:dyDescent="0.25">
      <c r="A8041" t="s">
        <v>33</v>
      </c>
      <c r="B8041">
        <v>0</v>
      </c>
    </row>
    <row r="8042" spans="1:2" x14ac:dyDescent="0.25">
      <c r="A8042" t="s">
        <v>34</v>
      </c>
      <c r="B8042">
        <v>0</v>
      </c>
    </row>
    <row r="8043" spans="1:2" x14ac:dyDescent="0.25">
      <c r="A8043" t="s">
        <v>35</v>
      </c>
      <c r="B8043">
        <v>169445</v>
      </c>
    </row>
    <row r="8044" spans="1:2" x14ac:dyDescent="0.25">
      <c r="A8044" t="s">
        <v>36</v>
      </c>
      <c r="B8044">
        <v>95900</v>
      </c>
    </row>
    <row r="8045" spans="1:2" x14ac:dyDescent="0.25">
      <c r="A8045" t="s">
        <v>12</v>
      </c>
      <c r="B8045">
        <v>1516159</v>
      </c>
    </row>
    <row r="8046" spans="1:2" x14ac:dyDescent="0.25">
      <c r="A8046" t="s">
        <v>37</v>
      </c>
      <c r="B8046">
        <v>0</v>
      </c>
    </row>
    <row r="8047" spans="1:2" x14ac:dyDescent="0.25">
      <c r="A8047" t="s">
        <v>38</v>
      </c>
      <c r="B8047">
        <v>590304</v>
      </c>
    </row>
    <row r="8048" spans="1:2" x14ac:dyDescent="0.25">
      <c r="A8048" t="s">
        <v>26</v>
      </c>
      <c r="B8048">
        <v>0</v>
      </c>
    </row>
    <row r="8049" spans="1:2" x14ac:dyDescent="0.25">
      <c r="A8049" t="s">
        <v>27</v>
      </c>
      <c r="B8049">
        <v>0</v>
      </c>
    </row>
    <row r="8050" spans="1:2" x14ac:dyDescent="0.25">
      <c r="A8050" t="s">
        <v>28</v>
      </c>
      <c r="B8050">
        <v>0</v>
      </c>
    </row>
    <row r="8051" spans="1:2" x14ac:dyDescent="0.25">
      <c r="A8051" t="s">
        <v>29</v>
      </c>
      <c r="B8051">
        <v>0</v>
      </c>
    </row>
    <row r="8052" spans="1:2" x14ac:dyDescent="0.25">
      <c r="A8052" t="s">
        <v>39</v>
      </c>
      <c r="B8052">
        <v>0</v>
      </c>
    </row>
    <row r="8053" spans="1:2" x14ac:dyDescent="0.25">
      <c r="A8053" t="s">
        <v>31</v>
      </c>
      <c r="B8053">
        <v>0</v>
      </c>
    </row>
    <row r="8054" spans="1:2" x14ac:dyDescent="0.25">
      <c r="A8054" t="s">
        <v>32</v>
      </c>
      <c r="B8054">
        <v>0</v>
      </c>
    </row>
    <row r="8055" spans="1:2" x14ac:dyDescent="0.25">
      <c r="A8055" t="s">
        <v>40</v>
      </c>
      <c r="B8055">
        <v>0</v>
      </c>
    </row>
    <row r="8056" spans="1:2" x14ac:dyDescent="0.25">
      <c r="A8056" t="s">
        <v>41</v>
      </c>
      <c r="B8056">
        <v>590304</v>
      </c>
    </row>
    <row r="8057" spans="1:2" x14ac:dyDescent="0.25">
      <c r="A8057" t="s">
        <v>42</v>
      </c>
      <c r="B8057">
        <v>0</v>
      </c>
    </row>
    <row r="8058" spans="1:2" x14ac:dyDescent="0.25">
      <c r="A8058" t="s">
        <v>43</v>
      </c>
      <c r="B8058">
        <v>0</v>
      </c>
    </row>
    <row r="8059" spans="1:2" x14ac:dyDescent="0.25">
      <c r="A8059" t="s">
        <v>44</v>
      </c>
      <c r="B8059">
        <v>0</v>
      </c>
    </row>
    <row r="8060" spans="1:2" x14ac:dyDescent="0.25">
      <c r="A8060" t="s">
        <v>45</v>
      </c>
      <c r="B8060">
        <v>281089762</v>
      </c>
    </row>
    <row r="8061" spans="1:2" x14ac:dyDescent="0.25">
      <c r="A8061" t="s">
        <v>46</v>
      </c>
      <c r="B8061">
        <v>281089762</v>
      </c>
    </row>
    <row r="8062" spans="1:2" x14ac:dyDescent="0.25">
      <c r="A8062" t="s">
        <v>47</v>
      </c>
      <c r="B8062">
        <v>42000000</v>
      </c>
    </row>
    <row r="8063" spans="1:2" x14ac:dyDescent="0.25">
      <c r="A8063" t="s">
        <v>48</v>
      </c>
      <c r="B8063">
        <v>0</v>
      </c>
    </row>
    <row r="8064" spans="1:2" x14ac:dyDescent="0.25">
      <c r="A8064" t="s">
        <v>49</v>
      </c>
      <c r="B8064">
        <v>2475242</v>
      </c>
    </row>
    <row r="8065" spans="1:2" x14ac:dyDescent="0.25">
      <c r="A8065" t="s">
        <v>50</v>
      </c>
      <c r="B8065">
        <v>0</v>
      </c>
    </row>
    <row r="8066" spans="1:2" x14ac:dyDescent="0.25">
      <c r="A8066" t="s">
        <v>51</v>
      </c>
      <c r="B8066">
        <v>0</v>
      </c>
    </row>
    <row r="8067" spans="1:2" x14ac:dyDescent="0.25">
      <c r="A8067" t="s">
        <v>52</v>
      </c>
      <c r="B8067">
        <v>29554554</v>
      </c>
    </row>
    <row r="8068" spans="1:2" x14ac:dyDescent="0.25">
      <c r="A8068" t="s">
        <v>53</v>
      </c>
      <c r="B8068">
        <v>-146115939</v>
      </c>
    </row>
    <row r="8069" spans="1:2" x14ac:dyDescent="0.25">
      <c r="A8069" t="s">
        <v>54</v>
      </c>
      <c r="B8069">
        <v>-69281706</v>
      </c>
    </row>
    <row r="8070" spans="1:2" x14ac:dyDescent="0.25">
      <c r="A8070" t="s">
        <v>55</v>
      </c>
      <c r="B8070">
        <v>422457611</v>
      </c>
    </row>
    <row r="8071" spans="1:2" x14ac:dyDescent="0.25">
      <c r="A8071" t="s">
        <v>56</v>
      </c>
      <c r="B8071">
        <v>0</v>
      </c>
    </row>
    <row r="8072" spans="1:2" x14ac:dyDescent="0.25">
      <c r="A8072" t="s">
        <v>57</v>
      </c>
      <c r="B8072">
        <v>283196225</v>
      </c>
    </row>
    <row r="8073" spans="1:2" x14ac:dyDescent="0.25">
      <c r="A8073" t="s">
        <v>58</v>
      </c>
    </row>
    <row r="8074" spans="1:2" x14ac:dyDescent="0.25">
      <c r="A8074" t="s">
        <v>59</v>
      </c>
      <c r="B8074">
        <v>0</v>
      </c>
    </row>
    <row r="8075" spans="1:2" x14ac:dyDescent="0.25">
      <c r="A8075" t="s">
        <v>60</v>
      </c>
      <c r="B8075">
        <v>4875076791</v>
      </c>
    </row>
    <row r="8076" spans="1:2" x14ac:dyDescent="0.25">
      <c r="A8076" t="s">
        <v>61</v>
      </c>
      <c r="B8076">
        <v>-4791014716</v>
      </c>
    </row>
    <row r="8077" spans="1:2" x14ac:dyDescent="0.25">
      <c r="A8077" t="s">
        <v>62</v>
      </c>
      <c r="B8077">
        <v>0</v>
      </c>
    </row>
    <row r="8078" spans="1:2" x14ac:dyDescent="0.25">
      <c r="A8078" t="s">
        <v>63</v>
      </c>
      <c r="B8078">
        <v>84062075</v>
      </c>
    </row>
    <row r="8079" spans="1:2" x14ac:dyDescent="0.25">
      <c r="A8079" t="s">
        <v>64</v>
      </c>
      <c r="B8079">
        <v>0</v>
      </c>
    </row>
    <row r="8080" spans="1:2" x14ac:dyDescent="0.25">
      <c r="A8080" t="s">
        <v>65</v>
      </c>
      <c r="B8080">
        <v>0</v>
      </c>
    </row>
    <row r="8081" spans="1:2" x14ac:dyDescent="0.25">
      <c r="A8081" t="s">
        <v>66</v>
      </c>
      <c r="B8081">
        <v>0</v>
      </c>
    </row>
    <row r="8082" spans="1:2" x14ac:dyDescent="0.25">
      <c r="A8082" t="s">
        <v>67</v>
      </c>
      <c r="B8082">
        <v>0</v>
      </c>
    </row>
    <row r="8083" spans="1:2" x14ac:dyDescent="0.25">
      <c r="A8083" t="s">
        <v>68</v>
      </c>
      <c r="B8083">
        <v>0</v>
      </c>
    </row>
    <row r="8084" spans="1:2" x14ac:dyDescent="0.25">
      <c r="A8084" t="s">
        <v>69</v>
      </c>
      <c r="B8084">
        <v>84062075</v>
      </c>
    </row>
    <row r="8085" spans="1:2" x14ac:dyDescent="0.25">
      <c r="A8085" t="s">
        <v>70</v>
      </c>
      <c r="B8085">
        <v>0</v>
      </c>
    </row>
    <row r="8086" spans="1:2" x14ac:dyDescent="0.25">
      <c r="A8086" t="s">
        <v>71</v>
      </c>
      <c r="B8086">
        <v>-5564194</v>
      </c>
    </row>
    <row r="8087" spans="1:2" x14ac:dyDescent="0.25">
      <c r="A8087" t="s">
        <v>72</v>
      </c>
      <c r="B8087">
        <v>0</v>
      </c>
    </row>
    <row r="8088" spans="1:2" x14ac:dyDescent="0.25">
      <c r="A8088" t="s">
        <v>73</v>
      </c>
      <c r="B8088">
        <v>92049</v>
      </c>
    </row>
    <row r="8089" spans="1:2" x14ac:dyDescent="0.25">
      <c r="A8089" t="s">
        <v>74</v>
      </c>
      <c r="B8089">
        <v>0</v>
      </c>
    </row>
    <row r="8090" spans="1:2" x14ac:dyDescent="0.25">
      <c r="A8090" t="s">
        <v>75</v>
      </c>
      <c r="B8090">
        <v>0</v>
      </c>
    </row>
    <row r="8091" spans="1:2" x14ac:dyDescent="0.25">
      <c r="A8091" t="s">
        <v>76</v>
      </c>
      <c r="B8091">
        <v>78589930</v>
      </c>
    </row>
    <row r="8092" spans="1:2" x14ac:dyDescent="0.25">
      <c r="A8092" t="s">
        <v>77</v>
      </c>
      <c r="B8092">
        <v>78497881</v>
      </c>
    </row>
    <row r="8093" spans="1:2" x14ac:dyDescent="0.25">
      <c r="A8093" t="s">
        <v>78</v>
      </c>
      <c r="B8093">
        <v>0</v>
      </c>
    </row>
    <row r="8094" spans="1:2" x14ac:dyDescent="0.25">
      <c r="A8094" t="s">
        <v>79</v>
      </c>
      <c r="B8094">
        <v>0</v>
      </c>
    </row>
    <row r="8095" spans="1:2" x14ac:dyDescent="0.25">
      <c r="A8095" t="s">
        <v>68</v>
      </c>
      <c r="B8095">
        <v>0</v>
      </c>
    </row>
    <row r="8096" spans="1:2" x14ac:dyDescent="0.25">
      <c r="A8096" t="s">
        <v>80</v>
      </c>
      <c r="B8096">
        <v>0</v>
      </c>
    </row>
    <row r="8097" spans="1:2" x14ac:dyDescent="0.25">
      <c r="A8097" t="s">
        <v>81</v>
      </c>
      <c r="B8097">
        <v>78589930</v>
      </c>
    </row>
    <row r="8098" spans="1:2" x14ac:dyDescent="0.25">
      <c r="A8098" t="s">
        <v>82</v>
      </c>
      <c r="B8098">
        <v>0</v>
      </c>
    </row>
    <row r="8099" spans="1:2" x14ac:dyDescent="0.25">
      <c r="A8099" t="s">
        <v>83</v>
      </c>
      <c r="B8099">
        <v>-138801383</v>
      </c>
    </row>
    <row r="8100" spans="1:2" x14ac:dyDescent="0.25">
      <c r="A8100" t="s">
        <v>84</v>
      </c>
      <c r="B8100">
        <v>0</v>
      </c>
    </row>
    <row r="8101" spans="1:2" x14ac:dyDescent="0.25">
      <c r="A8101" t="s">
        <v>85</v>
      </c>
      <c r="B8101">
        <v>-60211453</v>
      </c>
    </row>
    <row r="8102" spans="1:2" x14ac:dyDescent="0.25">
      <c r="A8102" t="s">
        <v>86</v>
      </c>
      <c r="B8102">
        <v>0</v>
      </c>
    </row>
    <row r="8103" spans="1:2" x14ac:dyDescent="0.25">
      <c r="A8103" t="s">
        <v>87</v>
      </c>
      <c r="B8103">
        <v>0</v>
      </c>
    </row>
    <row r="8104" spans="1:2" x14ac:dyDescent="0.25">
      <c r="A8104" t="s">
        <v>88</v>
      </c>
      <c r="B8104">
        <v>0</v>
      </c>
    </row>
    <row r="8105" spans="1:2" x14ac:dyDescent="0.25">
      <c r="A8105" t="s">
        <v>89</v>
      </c>
      <c r="B8105">
        <v>0</v>
      </c>
    </row>
    <row r="8106" spans="1:2" x14ac:dyDescent="0.25">
      <c r="A8106" t="s">
        <v>90</v>
      </c>
      <c r="B8106">
        <v>-60211453</v>
      </c>
    </row>
    <row r="8107" spans="1:2" x14ac:dyDescent="0.25">
      <c r="A8107" t="s">
        <v>91</v>
      </c>
      <c r="B8107">
        <v>0</v>
      </c>
    </row>
    <row r="8108" spans="1:2" x14ac:dyDescent="0.25">
      <c r="A8108" t="s">
        <v>92</v>
      </c>
      <c r="B8108">
        <v>0</v>
      </c>
    </row>
    <row r="8109" spans="1:2" x14ac:dyDescent="0.25">
      <c r="A8109" t="s">
        <v>93</v>
      </c>
      <c r="B8109">
        <v>-60211453</v>
      </c>
    </row>
    <row r="8110" spans="1:2" x14ac:dyDescent="0.25">
      <c r="A8110" t="s">
        <v>94</v>
      </c>
      <c r="B8110">
        <v>0</v>
      </c>
    </row>
    <row r="8111" spans="1:2" x14ac:dyDescent="0.25">
      <c r="A8111" t="s">
        <v>56</v>
      </c>
      <c r="B8111">
        <v>0</v>
      </c>
    </row>
    <row r="8112" spans="1:2" x14ac:dyDescent="0.25">
      <c r="A8112" t="s">
        <v>95</v>
      </c>
      <c r="B8112">
        <v>-60211453</v>
      </c>
    </row>
    <row r="8113" spans="1:2" x14ac:dyDescent="0.25">
      <c r="A8113" t="s">
        <v>96</v>
      </c>
      <c r="B8113">
        <v>-1</v>
      </c>
    </row>
    <row r="8114" spans="1:2" x14ac:dyDescent="0.25">
      <c r="A8114" t="s">
        <v>97</v>
      </c>
      <c r="B8114">
        <v>0</v>
      </c>
    </row>
    <row r="8115" spans="1:2" x14ac:dyDescent="0.25">
      <c r="A8115" t="s">
        <v>98</v>
      </c>
      <c r="B8115">
        <v>0</v>
      </c>
    </row>
    <row r="8116" spans="1:2" x14ac:dyDescent="0.25">
      <c r="A8116" t="s">
        <v>99</v>
      </c>
      <c r="B8116">
        <v>0</v>
      </c>
    </row>
    <row r="8117" spans="1:2" x14ac:dyDescent="0.25">
      <c r="A8117" t="s">
        <v>100</v>
      </c>
    </row>
    <row r="8118" spans="1:2" x14ac:dyDescent="0.25">
      <c r="A8118" t="s">
        <v>101</v>
      </c>
      <c r="B8118">
        <v>79304</v>
      </c>
    </row>
    <row r="8119" spans="1:2" x14ac:dyDescent="0.25">
      <c r="A8119" t="s">
        <v>102</v>
      </c>
      <c r="B8119">
        <v>48256</v>
      </c>
    </row>
    <row r="8120" spans="1:2" x14ac:dyDescent="0.25">
      <c r="A8120" t="s">
        <v>103</v>
      </c>
      <c r="B8120">
        <v>-138801383</v>
      </c>
    </row>
    <row r="8121" spans="1:2" x14ac:dyDescent="0.25">
      <c r="A8121" t="s">
        <v>104</v>
      </c>
      <c r="B8121">
        <v>0</v>
      </c>
    </row>
    <row r="8122" spans="1:2" x14ac:dyDescent="0.25">
      <c r="A8122" t="s">
        <v>105</v>
      </c>
      <c r="B8122">
        <v>0</v>
      </c>
    </row>
    <row r="8123" spans="1:2" x14ac:dyDescent="0.25">
      <c r="A8123" t="s">
        <v>106</v>
      </c>
      <c r="B8123">
        <v>0</v>
      </c>
    </row>
    <row r="8124" spans="1:2" x14ac:dyDescent="0.25">
      <c r="A8124" t="s">
        <v>107</v>
      </c>
      <c r="B8124">
        <v>0</v>
      </c>
    </row>
    <row r="8125" spans="1:2" x14ac:dyDescent="0.25">
      <c r="A8125" t="s">
        <v>108</v>
      </c>
      <c r="B8125">
        <v>0</v>
      </c>
    </row>
    <row r="8126" spans="1:2" x14ac:dyDescent="0.25">
      <c r="A8126" t="s">
        <v>109</v>
      </c>
    </row>
    <row r="8127" spans="1:2" x14ac:dyDescent="0.25">
      <c r="A8127" t="s">
        <v>110</v>
      </c>
      <c r="B8127">
        <v>12172888</v>
      </c>
    </row>
    <row r="8128" spans="1:2" x14ac:dyDescent="0.25">
      <c r="A8128" t="s">
        <v>111</v>
      </c>
      <c r="B8128">
        <v>-60211453</v>
      </c>
    </row>
    <row r="8129" spans="1:2" x14ac:dyDescent="0.25">
      <c r="A8129" t="s">
        <v>112</v>
      </c>
      <c r="B8129">
        <v>112721897</v>
      </c>
    </row>
    <row r="8130" spans="1:2" x14ac:dyDescent="0.25">
      <c r="A8130" t="s">
        <v>113</v>
      </c>
      <c r="B8130">
        <v>79304</v>
      </c>
    </row>
    <row r="8131" spans="1:2" x14ac:dyDescent="0.25">
      <c r="A8131" t="s">
        <v>114</v>
      </c>
      <c r="B8131">
        <v>145596</v>
      </c>
    </row>
    <row r="8132" spans="1:2" x14ac:dyDescent="0.25">
      <c r="A8132" t="s">
        <v>115</v>
      </c>
      <c r="B8132">
        <v>112496997</v>
      </c>
    </row>
    <row r="8133" spans="1:2" x14ac:dyDescent="0.25">
      <c r="A8133" t="s">
        <v>116</v>
      </c>
      <c r="B8133">
        <v>52510444</v>
      </c>
    </row>
    <row r="8134" spans="1:2" x14ac:dyDescent="0.25">
      <c r="A8134" t="s">
        <v>117</v>
      </c>
      <c r="B8134">
        <v>-40337556</v>
      </c>
    </row>
    <row r="8135" spans="1:2" x14ac:dyDescent="0.25">
      <c r="A8135" t="s">
        <v>118</v>
      </c>
      <c r="B8135">
        <v>12172888</v>
      </c>
    </row>
    <row r="8136" spans="1:2" x14ac:dyDescent="0.25">
      <c r="A8136" t="s">
        <v>119</v>
      </c>
      <c r="B8136">
        <v>0</v>
      </c>
    </row>
    <row r="8137" spans="1:2" x14ac:dyDescent="0.25">
      <c r="A8137" t="s">
        <v>120</v>
      </c>
      <c r="B8137">
        <v>0</v>
      </c>
    </row>
    <row r="8138" spans="1:2" x14ac:dyDescent="0.25">
      <c r="A8138" t="s">
        <v>121</v>
      </c>
      <c r="B8138">
        <v>-17284803</v>
      </c>
    </row>
    <row r="8139" spans="1:2" x14ac:dyDescent="0.25">
      <c r="A8139" t="s">
        <v>122</v>
      </c>
      <c r="B8139">
        <v>-17284803</v>
      </c>
    </row>
    <row r="8140" spans="1:2" x14ac:dyDescent="0.25">
      <c r="A8140" t="s">
        <v>123</v>
      </c>
      <c r="B8140">
        <v>-5111915</v>
      </c>
    </row>
    <row r="8141" spans="1:2" x14ac:dyDescent="0.25">
      <c r="A8141" t="s">
        <v>124</v>
      </c>
      <c r="B8141">
        <v>0</v>
      </c>
    </row>
    <row r="8142" spans="1:2" x14ac:dyDescent="0.25">
      <c r="A8142" t="s">
        <v>125</v>
      </c>
      <c r="B8142">
        <v>-26123326</v>
      </c>
    </row>
    <row r="8143" spans="1:2" x14ac:dyDescent="0.25">
      <c r="A8143" t="s">
        <v>126</v>
      </c>
      <c r="B8143">
        <v>0</v>
      </c>
    </row>
    <row r="8144" spans="1:2" x14ac:dyDescent="0.25">
      <c r="A8144" t="s">
        <v>127</v>
      </c>
      <c r="B8144">
        <v>0</v>
      </c>
    </row>
    <row r="8145" spans="1:2" x14ac:dyDescent="0.25">
      <c r="A8145" t="s">
        <v>128</v>
      </c>
      <c r="B8145">
        <v>-26123326</v>
      </c>
    </row>
    <row r="8146" spans="1:2" x14ac:dyDescent="0.25">
      <c r="A8146" t="s">
        <v>129</v>
      </c>
      <c r="B8146">
        <v>-31235241</v>
      </c>
    </row>
    <row r="8147" spans="1:2" x14ac:dyDescent="0.25">
      <c r="A8147" t="s">
        <v>130</v>
      </c>
      <c r="B8147">
        <v>-38004220</v>
      </c>
    </row>
    <row r="8148" spans="1:2" x14ac:dyDescent="0.25">
      <c r="A8148" t="s">
        <v>131</v>
      </c>
      <c r="B8148">
        <v>0</v>
      </c>
    </row>
    <row r="8149" spans="1:2" x14ac:dyDescent="0.25">
      <c r="A8149" t="s">
        <v>132</v>
      </c>
      <c r="B8149">
        <v>-69239461</v>
      </c>
    </row>
    <row r="8150" spans="1:2" x14ac:dyDescent="0.25">
      <c r="A8150" t="s">
        <v>133</v>
      </c>
      <c r="B8150">
        <v>0</v>
      </c>
    </row>
    <row r="8151" spans="1:2" x14ac:dyDescent="0.25">
      <c r="A8151" t="s">
        <v>134</v>
      </c>
      <c r="B8151">
        <v>96677155</v>
      </c>
    </row>
    <row r="8152" spans="1:2" x14ac:dyDescent="0.25">
      <c r="A8152" t="s">
        <v>135</v>
      </c>
      <c r="B8152">
        <v>27437694</v>
      </c>
    </row>
    <row r="9001" spans="1:2" x14ac:dyDescent="0.25">
      <c r="A9001" t="s">
        <v>0</v>
      </c>
      <c r="B9001" t="s">
        <v>154</v>
      </c>
    </row>
    <row r="9002" spans="1:2" x14ac:dyDescent="0.25">
      <c r="A9002" t="s">
        <v>1</v>
      </c>
    </row>
    <row r="9003" spans="1:2" x14ac:dyDescent="0.25">
      <c r="A9003" t="s">
        <v>2</v>
      </c>
      <c r="B9003">
        <v>283019861</v>
      </c>
    </row>
    <row r="9004" spans="1:2" x14ac:dyDescent="0.25">
      <c r="A9004" t="s">
        <v>3</v>
      </c>
      <c r="B9004">
        <v>31570908</v>
      </c>
    </row>
    <row r="9005" spans="1:2" x14ac:dyDescent="0.25">
      <c r="A9005" t="s">
        <v>4</v>
      </c>
      <c r="B9005">
        <v>250858196</v>
      </c>
    </row>
    <row r="9006" spans="1:2" x14ac:dyDescent="0.25">
      <c r="A9006" t="s">
        <v>5</v>
      </c>
      <c r="B9006">
        <v>0</v>
      </c>
    </row>
    <row r="9007" spans="1:2" x14ac:dyDescent="0.25">
      <c r="A9007" t="s">
        <v>6</v>
      </c>
      <c r="B9007">
        <v>0</v>
      </c>
    </row>
    <row r="9008" spans="1:2" x14ac:dyDescent="0.25">
      <c r="A9008" t="s">
        <v>7</v>
      </c>
      <c r="B9008">
        <v>2877</v>
      </c>
    </row>
    <row r="9009" spans="1:2" x14ac:dyDescent="0.25">
      <c r="A9009" t="s">
        <v>8</v>
      </c>
      <c r="B9009">
        <v>0</v>
      </c>
    </row>
    <row r="9010" spans="1:2" x14ac:dyDescent="0.25">
      <c r="A9010" t="s">
        <v>9</v>
      </c>
      <c r="B9010">
        <v>0</v>
      </c>
    </row>
    <row r="9011" spans="1:2" x14ac:dyDescent="0.25">
      <c r="A9011" t="s">
        <v>10</v>
      </c>
      <c r="B9011">
        <v>0</v>
      </c>
    </row>
    <row r="9012" spans="1:2" x14ac:dyDescent="0.25">
      <c r="A9012" t="s">
        <v>11</v>
      </c>
      <c r="B9012">
        <v>587880</v>
      </c>
    </row>
    <row r="9013" spans="1:2" x14ac:dyDescent="0.25">
      <c r="A9013" t="s">
        <v>12</v>
      </c>
      <c r="B9013">
        <v>283019861</v>
      </c>
    </row>
    <row r="9014" spans="1:2" x14ac:dyDescent="0.25">
      <c r="A9014" t="s">
        <v>13</v>
      </c>
      <c r="B9014">
        <v>0</v>
      </c>
    </row>
    <row r="9015" spans="1:2" x14ac:dyDescent="0.25">
      <c r="A9015" t="s">
        <v>14</v>
      </c>
      <c r="B9015">
        <v>176364</v>
      </c>
    </row>
    <row r="9016" spans="1:2" x14ac:dyDescent="0.25">
      <c r="A9016" t="s">
        <v>5</v>
      </c>
      <c r="B9016">
        <v>0</v>
      </c>
    </row>
    <row r="9017" spans="1:2" x14ac:dyDescent="0.25">
      <c r="A9017" t="s">
        <v>6</v>
      </c>
      <c r="B9017">
        <v>0</v>
      </c>
    </row>
    <row r="9018" spans="1:2" x14ac:dyDescent="0.25">
      <c r="A9018" t="s">
        <v>7</v>
      </c>
      <c r="B9018">
        <v>0</v>
      </c>
    </row>
    <row r="9019" spans="1:2" x14ac:dyDescent="0.25">
      <c r="A9019" t="s">
        <v>8</v>
      </c>
      <c r="B9019">
        <v>0</v>
      </c>
    </row>
    <row r="9020" spans="1:2" x14ac:dyDescent="0.25">
      <c r="A9020" t="s">
        <v>4</v>
      </c>
      <c r="B9020">
        <v>0</v>
      </c>
    </row>
    <row r="9021" spans="1:2" x14ac:dyDescent="0.25">
      <c r="A9021" t="s">
        <v>15</v>
      </c>
      <c r="B9021">
        <v>0</v>
      </c>
    </row>
    <row r="9022" spans="1:2" x14ac:dyDescent="0.25">
      <c r="A9022" t="s">
        <v>10</v>
      </c>
      <c r="B9022">
        <v>0</v>
      </c>
    </row>
    <row r="9023" spans="1:2" x14ac:dyDescent="0.25">
      <c r="A9023" t="s">
        <v>16</v>
      </c>
      <c r="B9023">
        <v>0</v>
      </c>
    </row>
    <row r="9024" spans="1:2" x14ac:dyDescent="0.25">
      <c r="A9024" t="s">
        <v>9</v>
      </c>
      <c r="B9024">
        <v>0</v>
      </c>
    </row>
    <row r="9025" spans="1:2" x14ac:dyDescent="0.25">
      <c r="A9025" t="s">
        <v>17</v>
      </c>
      <c r="B9025">
        <v>0</v>
      </c>
    </row>
    <row r="9026" spans="1:2" x14ac:dyDescent="0.25">
      <c r="A9026" t="s">
        <v>18</v>
      </c>
      <c r="B9026">
        <v>176364</v>
      </c>
    </row>
    <row r="9027" spans="1:2" x14ac:dyDescent="0.25">
      <c r="A9027" t="s">
        <v>19</v>
      </c>
      <c r="B9027">
        <v>0</v>
      </c>
    </row>
    <row r="9028" spans="1:2" x14ac:dyDescent="0.25">
      <c r="A9028" t="s">
        <v>20</v>
      </c>
      <c r="B9028">
        <v>0</v>
      </c>
    </row>
    <row r="9029" spans="1:2" x14ac:dyDescent="0.25">
      <c r="A9029" t="s">
        <v>21</v>
      </c>
      <c r="B9029">
        <v>0</v>
      </c>
    </row>
    <row r="9030" spans="1:2" x14ac:dyDescent="0.25">
      <c r="A9030" t="s">
        <v>22</v>
      </c>
      <c r="B9030">
        <v>0</v>
      </c>
    </row>
    <row r="9031" spans="1:2" x14ac:dyDescent="0.25">
      <c r="A9031" t="s">
        <v>23</v>
      </c>
      <c r="B9031">
        <v>283196225</v>
      </c>
    </row>
    <row r="9032" spans="1:2" x14ac:dyDescent="0.25">
      <c r="A9032" t="s">
        <v>24</v>
      </c>
      <c r="B9032">
        <v>0</v>
      </c>
    </row>
    <row r="9033" spans="1:2" x14ac:dyDescent="0.25">
      <c r="A9033" t="s">
        <v>25</v>
      </c>
      <c r="B9033">
        <v>1516159</v>
      </c>
    </row>
    <row r="9034" spans="1:2" x14ac:dyDescent="0.25">
      <c r="A9034" t="s">
        <v>26</v>
      </c>
      <c r="B9034">
        <v>0</v>
      </c>
    </row>
    <row r="9035" spans="1:2" x14ac:dyDescent="0.25">
      <c r="A9035" t="s">
        <v>27</v>
      </c>
      <c r="B9035">
        <v>0</v>
      </c>
    </row>
    <row r="9036" spans="1:2" x14ac:dyDescent="0.25">
      <c r="A9036" t="s">
        <v>28</v>
      </c>
      <c r="B9036">
        <v>1241593</v>
      </c>
    </row>
    <row r="9037" spans="1:2" x14ac:dyDescent="0.25">
      <c r="A9037" t="s">
        <v>29</v>
      </c>
      <c r="B9037">
        <v>9221</v>
      </c>
    </row>
    <row r="9038" spans="1:2" x14ac:dyDescent="0.25">
      <c r="A9038" t="s">
        <v>30</v>
      </c>
      <c r="B9038">
        <v>0</v>
      </c>
    </row>
    <row r="9039" spans="1:2" x14ac:dyDescent="0.25">
      <c r="A9039" t="s">
        <v>31</v>
      </c>
      <c r="B9039">
        <v>0</v>
      </c>
    </row>
    <row r="9040" spans="1:2" x14ac:dyDescent="0.25">
      <c r="A9040" t="s">
        <v>32</v>
      </c>
      <c r="B9040">
        <v>0</v>
      </c>
    </row>
    <row r="9041" spans="1:2" x14ac:dyDescent="0.25">
      <c r="A9041" t="s">
        <v>33</v>
      </c>
      <c r="B9041">
        <v>0</v>
      </c>
    </row>
    <row r="9042" spans="1:2" x14ac:dyDescent="0.25">
      <c r="A9042" t="s">
        <v>34</v>
      </c>
      <c r="B9042">
        <v>0</v>
      </c>
    </row>
    <row r="9043" spans="1:2" x14ac:dyDescent="0.25">
      <c r="A9043" t="s">
        <v>35</v>
      </c>
      <c r="B9043">
        <v>169445</v>
      </c>
    </row>
    <row r="9044" spans="1:2" x14ac:dyDescent="0.25">
      <c r="A9044" t="s">
        <v>36</v>
      </c>
      <c r="B9044">
        <v>95900</v>
      </c>
    </row>
    <row r="9045" spans="1:2" x14ac:dyDescent="0.25">
      <c r="A9045" t="s">
        <v>12</v>
      </c>
      <c r="B9045">
        <v>1516159</v>
      </c>
    </row>
    <row r="9046" spans="1:2" x14ac:dyDescent="0.25">
      <c r="A9046" t="s">
        <v>37</v>
      </c>
      <c r="B9046">
        <v>0</v>
      </c>
    </row>
    <row r="9047" spans="1:2" x14ac:dyDescent="0.25">
      <c r="A9047" t="s">
        <v>38</v>
      </c>
      <c r="B9047">
        <v>590304</v>
      </c>
    </row>
    <row r="9048" spans="1:2" x14ac:dyDescent="0.25">
      <c r="A9048" t="s">
        <v>26</v>
      </c>
      <c r="B9048">
        <v>0</v>
      </c>
    </row>
    <row r="9049" spans="1:2" x14ac:dyDescent="0.25">
      <c r="A9049" t="s">
        <v>27</v>
      </c>
      <c r="B9049">
        <v>0</v>
      </c>
    </row>
    <row r="9050" spans="1:2" x14ac:dyDescent="0.25">
      <c r="A9050" t="s">
        <v>28</v>
      </c>
      <c r="B9050">
        <v>0</v>
      </c>
    </row>
    <row r="9051" spans="1:2" x14ac:dyDescent="0.25">
      <c r="A9051" t="s">
        <v>29</v>
      </c>
      <c r="B9051">
        <v>0</v>
      </c>
    </row>
    <row r="9052" spans="1:2" x14ac:dyDescent="0.25">
      <c r="A9052" t="s">
        <v>39</v>
      </c>
      <c r="B9052">
        <v>0</v>
      </c>
    </row>
    <row r="9053" spans="1:2" x14ac:dyDescent="0.25">
      <c r="A9053" t="s">
        <v>31</v>
      </c>
      <c r="B9053">
        <v>0</v>
      </c>
    </row>
    <row r="9054" spans="1:2" x14ac:dyDescent="0.25">
      <c r="A9054" t="s">
        <v>32</v>
      </c>
      <c r="B9054">
        <v>0</v>
      </c>
    </row>
    <row r="9055" spans="1:2" x14ac:dyDescent="0.25">
      <c r="A9055" t="s">
        <v>40</v>
      </c>
      <c r="B9055">
        <v>0</v>
      </c>
    </row>
    <row r="9056" spans="1:2" x14ac:dyDescent="0.25">
      <c r="A9056" t="s">
        <v>41</v>
      </c>
      <c r="B9056">
        <v>590304</v>
      </c>
    </row>
    <row r="9057" spans="1:2" x14ac:dyDescent="0.25">
      <c r="A9057" t="s">
        <v>42</v>
      </c>
      <c r="B9057">
        <v>0</v>
      </c>
    </row>
    <row r="9058" spans="1:2" x14ac:dyDescent="0.25">
      <c r="A9058" t="s">
        <v>43</v>
      </c>
      <c r="B9058">
        <v>0</v>
      </c>
    </row>
    <row r="9059" spans="1:2" x14ac:dyDescent="0.25">
      <c r="A9059" t="s">
        <v>44</v>
      </c>
      <c r="B9059">
        <v>0</v>
      </c>
    </row>
    <row r="9060" spans="1:2" x14ac:dyDescent="0.25">
      <c r="A9060" t="s">
        <v>45</v>
      </c>
      <c r="B9060">
        <v>281089762</v>
      </c>
    </row>
    <row r="9061" spans="1:2" x14ac:dyDescent="0.25">
      <c r="A9061" t="s">
        <v>46</v>
      </c>
      <c r="B9061">
        <v>281089762</v>
      </c>
    </row>
    <row r="9062" spans="1:2" x14ac:dyDescent="0.25">
      <c r="A9062" t="s">
        <v>47</v>
      </c>
      <c r="B9062">
        <v>42000000</v>
      </c>
    </row>
    <row r="9063" spans="1:2" x14ac:dyDescent="0.25">
      <c r="A9063" t="s">
        <v>48</v>
      </c>
      <c r="B9063">
        <v>0</v>
      </c>
    </row>
    <row r="9064" spans="1:2" x14ac:dyDescent="0.25">
      <c r="A9064" t="s">
        <v>49</v>
      </c>
      <c r="B9064">
        <v>2475242</v>
      </c>
    </row>
    <row r="9065" spans="1:2" x14ac:dyDescent="0.25">
      <c r="A9065" t="s">
        <v>50</v>
      </c>
      <c r="B9065">
        <v>0</v>
      </c>
    </row>
    <row r="9066" spans="1:2" x14ac:dyDescent="0.25">
      <c r="A9066" t="s">
        <v>51</v>
      </c>
      <c r="B9066">
        <v>0</v>
      </c>
    </row>
    <row r="9067" spans="1:2" x14ac:dyDescent="0.25">
      <c r="A9067" t="s">
        <v>52</v>
      </c>
      <c r="B9067">
        <v>29554554</v>
      </c>
    </row>
    <row r="9068" spans="1:2" x14ac:dyDescent="0.25">
      <c r="A9068" t="s">
        <v>53</v>
      </c>
      <c r="B9068">
        <v>-146115939</v>
      </c>
    </row>
    <row r="9069" spans="1:2" x14ac:dyDescent="0.25">
      <c r="A9069" t="s">
        <v>54</v>
      </c>
      <c r="B9069">
        <v>-69281706</v>
      </c>
    </row>
    <row r="9070" spans="1:2" x14ac:dyDescent="0.25">
      <c r="A9070" t="s">
        <v>55</v>
      </c>
      <c r="B9070">
        <v>422457611</v>
      </c>
    </row>
    <row r="9071" spans="1:2" x14ac:dyDescent="0.25">
      <c r="A9071" t="s">
        <v>56</v>
      </c>
      <c r="B9071">
        <v>0</v>
      </c>
    </row>
    <row r="9072" spans="1:2" x14ac:dyDescent="0.25">
      <c r="A9072" t="s">
        <v>57</v>
      </c>
      <c r="B9072">
        <v>283196225</v>
      </c>
    </row>
    <row r="9073" spans="1:2" x14ac:dyDescent="0.25">
      <c r="A9073" t="s">
        <v>58</v>
      </c>
    </row>
    <row r="9074" spans="1:2" x14ac:dyDescent="0.25">
      <c r="A9074" t="s">
        <v>59</v>
      </c>
      <c r="B9074">
        <v>0</v>
      </c>
    </row>
    <row r="9075" spans="1:2" x14ac:dyDescent="0.25">
      <c r="A9075" t="s">
        <v>60</v>
      </c>
      <c r="B9075">
        <v>4875076791</v>
      </c>
    </row>
    <row r="9076" spans="1:2" x14ac:dyDescent="0.25">
      <c r="A9076" t="s">
        <v>61</v>
      </c>
      <c r="B9076">
        <v>-4791014716</v>
      </c>
    </row>
    <row r="9077" spans="1:2" x14ac:dyDescent="0.25">
      <c r="A9077" t="s">
        <v>62</v>
      </c>
      <c r="B9077">
        <v>0</v>
      </c>
    </row>
    <row r="9078" spans="1:2" x14ac:dyDescent="0.25">
      <c r="A9078" t="s">
        <v>63</v>
      </c>
      <c r="B9078">
        <v>84062075</v>
      </c>
    </row>
    <row r="9079" spans="1:2" x14ac:dyDescent="0.25">
      <c r="A9079" t="s">
        <v>64</v>
      </c>
      <c r="B9079">
        <v>0</v>
      </c>
    </row>
    <row r="9080" spans="1:2" x14ac:dyDescent="0.25">
      <c r="A9080" t="s">
        <v>65</v>
      </c>
      <c r="B9080">
        <v>0</v>
      </c>
    </row>
    <row r="9081" spans="1:2" x14ac:dyDescent="0.25">
      <c r="A9081" t="s">
        <v>66</v>
      </c>
      <c r="B9081">
        <v>0</v>
      </c>
    </row>
    <row r="9082" spans="1:2" x14ac:dyDescent="0.25">
      <c r="A9082" t="s">
        <v>67</v>
      </c>
      <c r="B9082">
        <v>0</v>
      </c>
    </row>
    <row r="9083" spans="1:2" x14ac:dyDescent="0.25">
      <c r="A9083" t="s">
        <v>68</v>
      </c>
      <c r="B9083">
        <v>0</v>
      </c>
    </row>
    <row r="9084" spans="1:2" x14ac:dyDescent="0.25">
      <c r="A9084" t="s">
        <v>69</v>
      </c>
      <c r="B9084">
        <v>84062075</v>
      </c>
    </row>
    <row r="9085" spans="1:2" x14ac:dyDescent="0.25">
      <c r="A9085" t="s">
        <v>70</v>
      </c>
      <c r="B9085">
        <v>0</v>
      </c>
    </row>
    <row r="9086" spans="1:2" x14ac:dyDescent="0.25">
      <c r="A9086" t="s">
        <v>71</v>
      </c>
      <c r="B9086">
        <v>-5564194</v>
      </c>
    </row>
    <row r="9087" spans="1:2" x14ac:dyDescent="0.25">
      <c r="A9087" t="s">
        <v>72</v>
      </c>
      <c r="B9087">
        <v>0</v>
      </c>
    </row>
    <row r="9088" spans="1:2" x14ac:dyDescent="0.25">
      <c r="A9088" t="s">
        <v>73</v>
      </c>
      <c r="B9088">
        <v>92049</v>
      </c>
    </row>
    <row r="9089" spans="1:2" x14ac:dyDescent="0.25">
      <c r="A9089" t="s">
        <v>74</v>
      </c>
      <c r="B9089">
        <v>0</v>
      </c>
    </row>
    <row r="9090" spans="1:2" x14ac:dyDescent="0.25">
      <c r="A9090" t="s">
        <v>75</v>
      </c>
      <c r="B9090">
        <v>0</v>
      </c>
    </row>
    <row r="9091" spans="1:2" x14ac:dyDescent="0.25">
      <c r="A9091" t="s">
        <v>76</v>
      </c>
      <c r="B9091">
        <v>78589930</v>
      </c>
    </row>
    <row r="9092" spans="1:2" x14ac:dyDescent="0.25">
      <c r="A9092" t="s">
        <v>77</v>
      </c>
      <c r="B9092">
        <v>78497881</v>
      </c>
    </row>
    <row r="9093" spans="1:2" x14ac:dyDescent="0.25">
      <c r="A9093" t="s">
        <v>78</v>
      </c>
      <c r="B9093">
        <v>0</v>
      </c>
    </row>
    <row r="9094" spans="1:2" x14ac:dyDescent="0.25">
      <c r="A9094" t="s">
        <v>79</v>
      </c>
      <c r="B9094">
        <v>0</v>
      </c>
    </row>
    <row r="9095" spans="1:2" x14ac:dyDescent="0.25">
      <c r="A9095" t="s">
        <v>68</v>
      </c>
      <c r="B9095">
        <v>0</v>
      </c>
    </row>
    <row r="9096" spans="1:2" x14ac:dyDescent="0.25">
      <c r="A9096" t="s">
        <v>80</v>
      </c>
      <c r="B9096">
        <v>0</v>
      </c>
    </row>
    <row r="9097" spans="1:2" x14ac:dyDescent="0.25">
      <c r="A9097" t="s">
        <v>81</v>
      </c>
      <c r="B9097">
        <v>78589930</v>
      </c>
    </row>
    <row r="9098" spans="1:2" x14ac:dyDescent="0.25">
      <c r="A9098" t="s">
        <v>82</v>
      </c>
      <c r="B9098">
        <v>0</v>
      </c>
    </row>
    <row r="9099" spans="1:2" x14ac:dyDescent="0.25">
      <c r="A9099" t="s">
        <v>83</v>
      </c>
      <c r="B9099">
        <v>-138801383</v>
      </c>
    </row>
    <row r="9100" spans="1:2" x14ac:dyDescent="0.25">
      <c r="A9100" t="s">
        <v>84</v>
      </c>
      <c r="B9100">
        <v>0</v>
      </c>
    </row>
    <row r="9101" spans="1:2" x14ac:dyDescent="0.25">
      <c r="A9101" t="s">
        <v>85</v>
      </c>
      <c r="B9101">
        <v>-60211453</v>
      </c>
    </row>
    <row r="9102" spans="1:2" x14ac:dyDescent="0.25">
      <c r="A9102" t="s">
        <v>86</v>
      </c>
      <c r="B9102">
        <v>0</v>
      </c>
    </row>
    <row r="9103" spans="1:2" x14ac:dyDescent="0.25">
      <c r="A9103" t="s">
        <v>87</v>
      </c>
      <c r="B9103">
        <v>0</v>
      </c>
    </row>
    <row r="9104" spans="1:2" x14ac:dyDescent="0.25">
      <c r="A9104" t="s">
        <v>88</v>
      </c>
      <c r="B9104">
        <v>0</v>
      </c>
    </row>
    <row r="9105" spans="1:2" x14ac:dyDescent="0.25">
      <c r="A9105" t="s">
        <v>89</v>
      </c>
      <c r="B9105">
        <v>0</v>
      </c>
    </row>
    <row r="9106" spans="1:2" x14ac:dyDescent="0.25">
      <c r="A9106" t="s">
        <v>90</v>
      </c>
      <c r="B9106">
        <v>-60211453</v>
      </c>
    </row>
    <row r="9107" spans="1:2" x14ac:dyDescent="0.25">
      <c r="A9107" t="s">
        <v>91</v>
      </c>
      <c r="B9107">
        <v>0</v>
      </c>
    </row>
    <row r="9108" spans="1:2" x14ac:dyDescent="0.25">
      <c r="A9108" t="s">
        <v>92</v>
      </c>
      <c r="B9108">
        <v>0</v>
      </c>
    </row>
    <row r="9109" spans="1:2" x14ac:dyDescent="0.25">
      <c r="A9109" t="s">
        <v>93</v>
      </c>
      <c r="B9109">
        <v>-60211453</v>
      </c>
    </row>
    <row r="9110" spans="1:2" x14ac:dyDescent="0.25">
      <c r="A9110" t="s">
        <v>94</v>
      </c>
      <c r="B9110">
        <v>0</v>
      </c>
    </row>
    <row r="9111" spans="1:2" x14ac:dyDescent="0.25">
      <c r="A9111" t="s">
        <v>56</v>
      </c>
      <c r="B9111">
        <v>0</v>
      </c>
    </row>
    <row r="9112" spans="1:2" x14ac:dyDescent="0.25">
      <c r="A9112" t="s">
        <v>95</v>
      </c>
      <c r="B9112">
        <v>-60211453</v>
      </c>
    </row>
    <row r="9113" spans="1:2" x14ac:dyDescent="0.25">
      <c r="A9113" t="s">
        <v>96</v>
      </c>
      <c r="B9113">
        <v>-1</v>
      </c>
    </row>
    <row r="9114" spans="1:2" x14ac:dyDescent="0.25">
      <c r="A9114" t="s">
        <v>97</v>
      </c>
      <c r="B9114">
        <v>0</v>
      </c>
    </row>
    <row r="9115" spans="1:2" x14ac:dyDescent="0.25">
      <c r="A9115" t="s">
        <v>98</v>
      </c>
      <c r="B9115">
        <v>0</v>
      </c>
    </row>
    <row r="9116" spans="1:2" x14ac:dyDescent="0.25">
      <c r="A9116" t="s">
        <v>99</v>
      </c>
      <c r="B9116">
        <v>0</v>
      </c>
    </row>
    <row r="9117" spans="1:2" x14ac:dyDescent="0.25">
      <c r="A9117" t="s">
        <v>100</v>
      </c>
    </row>
    <row r="9118" spans="1:2" x14ac:dyDescent="0.25">
      <c r="A9118" t="s">
        <v>101</v>
      </c>
      <c r="B9118">
        <v>79304</v>
      </c>
    </row>
    <row r="9119" spans="1:2" x14ac:dyDescent="0.25">
      <c r="A9119" t="s">
        <v>102</v>
      </c>
      <c r="B9119">
        <v>48256</v>
      </c>
    </row>
    <row r="9120" spans="1:2" x14ac:dyDescent="0.25">
      <c r="A9120" t="s">
        <v>103</v>
      </c>
      <c r="B9120">
        <v>-138801383</v>
      </c>
    </row>
    <row r="9121" spans="1:2" x14ac:dyDescent="0.25">
      <c r="A9121" t="s">
        <v>104</v>
      </c>
      <c r="B9121">
        <v>0</v>
      </c>
    </row>
    <row r="9122" spans="1:2" x14ac:dyDescent="0.25">
      <c r="A9122" t="s">
        <v>105</v>
      </c>
      <c r="B9122">
        <v>0</v>
      </c>
    </row>
    <row r="9123" spans="1:2" x14ac:dyDescent="0.25">
      <c r="A9123" t="s">
        <v>106</v>
      </c>
      <c r="B9123">
        <v>0</v>
      </c>
    </row>
    <row r="9124" spans="1:2" x14ac:dyDescent="0.25">
      <c r="A9124" t="s">
        <v>107</v>
      </c>
      <c r="B9124">
        <v>0</v>
      </c>
    </row>
    <row r="9125" spans="1:2" x14ac:dyDescent="0.25">
      <c r="A9125" t="s">
        <v>108</v>
      </c>
      <c r="B9125">
        <v>0</v>
      </c>
    </row>
    <row r="9126" spans="1:2" x14ac:dyDescent="0.25">
      <c r="A9126" t="s">
        <v>109</v>
      </c>
    </row>
    <row r="9127" spans="1:2" x14ac:dyDescent="0.25">
      <c r="A9127" t="s">
        <v>110</v>
      </c>
      <c r="B9127">
        <v>12172888</v>
      </c>
    </row>
    <row r="9128" spans="1:2" x14ac:dyDescent="0.25">
      <c r="A9128" t="s">
        <v>111</v>
      </c>
      <c r="B9128">
        <v>-60211453</v>
      </c>
    </row>
    <row r="9129" spans="1:2" x14ac:dyDescent="0.25">
      <c r="A9129" t="s">
        <v>112</v>
      </c>
      <c r="B9129">
        <v>112721897</v>
      </c>
    </row>
    <row r="9130" spans="1:2" x14ac:dyDescent="0.25">
      <c r="A9130" t="s">
        <v>113</v>
      </c>
      <c r="B9130">
        <v>79304</v>
      </c>
    </row>
    <row r="9131" spans="1:2" x14ac:dyDescent="0.25">
      <c r="A9131" t="s">
        <v>114</v>
      </c>
      <c r="B9131">
        <v>145596</v>
      </c>
    </row>
    <row r="9132" spans="1:2" x14ac:dyDescent="0.25">
      <c r="A9132" t="s">
        <v>115</v>
      </c>
      <c r="B9132">
        <v>112496997</v>
      </c>
    </row>
    <row r="9133" spans="1:2" x14ac:dyDescent="0.25">
      <c r="A9133" t="s">
        <v>116</v>
      </c>
      <c r="B9133">
        <v>52510444</v>
      </c>
    </row>
    <row r="9134" spans="1:2" x14ac:dyDescent="0.25">
      <c r="A9134" t="s">
        <v>117</v>
      </c>
      <c r="B9134">
        <v>-40337556</v>
      </c>
    </row>
    <row r="9135" spans="1:2" x14ac:dyDescent="0.25">
      <c r="A9135" t="s">
        <v>118</v>
      </c>
      <c r="B9135">
        <v>12172888</v>
      </c>
    </row>
    <row r="9136" spans="1:2" x14ac:dyDescent="0.25">
      <c r="A9136" t="s">
        <v>119</v>
      </c>
      <c r="B9136">
        <v>0</v>
      </c>
    </row>
    <row r="9137" spans="1:2" x14ac:dyDescent="0.25">
      <c r="A9137" t="s">
        <v>120</v>
      </c>
      <c r="B9137">
        <v>0</v>
      </c>
    </row>
    <row r="9138" spans="1:2" x14ac:dyDescent="0.25">
      <c r="A9138" t="s">
        <v>121</v>
      </c>
      <c r="B9138">
        <v>-17284803</v>
      </c>
    </row>
    <row r="9139" spans="1:2" x14ac:dyDescent="0.25">
      <c r="A9139" t="s">
        <v>122</v>
      </c>
      <c r="B9139">
        <v>-17284803</v>
      </c>
    </row>
    <row r="9140" spans="1:2" x14ac:dyDescent="0.25">
      <c r="A9140" t="s">
        <v>123</v>
      </c>
      <c r="B9140">
        <v>-5111915</v>
      </c>
    </row>
    <row r="9141" spans="1:2" x14ac:dyDescent="0.25">
      <c r="A9141" t="s">
        <v>124</v>
      </c>
      <c r="B9141">
        <v>0</v>
      </c>
    </row>
    <row r="9142" spans="1:2" x14ac:dyDescent="0.25">
      <c r="A9142" t="s">
        <v>125</v>
      </c>
      <c r="B9142">
        <v>-26123326</v>
      </c>
    </row>
    <row r="9143" spans="1:2" x14ac:dyDescent="0.25">
      <c r="A9143" t="s">
        <v>126</v>
      </c>
      <c r="B9143">
        <v>0</v>
      </c>
    </row>
    <row r="9144" spans="1:2" x14ac:dyDescent="0.25">
      <c r="A9144" t="s">
        <v>127</v>
      </c>
      <c r="B9144">
        <v>0</v>
      </c>
    </row>
    <row r="9145" spans="1:2" x14ac:dyDescent="0.25">
      <c r="A9145" t="s">
        <v>128</v>
      </c>
      <c r="B9145">
        <v>-26123326</v>
      </c>
    </row>
    <row r="9146" spans="1:2" x14ac:dyDescent="0.25">
      <c r="A9146" t="s">
        <v>129</v>
      </c>
      <c r="B9146">
        <v>-31235241</v>
      </c>
    </row>
    <row r="9147" spans="1:2" x14ac:dyDescent="0.25">
      <c r="A9147" t="s">
        <v>130</v>
      </c>
      <c r="B9147">
        <v>-38004220</v>
      </c>
    </row>
    <row r="9148" spans="1:2" x14ac:dyDescent="0.25">
      <c r="A9148" t="s">
        <v>131</v>
      </c>
      <c r="B9148">
        <v>0</v>
      </c>
    </row>
    <row r="9149" spans="1:2" x14ac:dyDescent="0.25">
      <c r="A9149" t="s">
        <v>132</v>
      </c>
      <c r="B9149">
        <v>-69239461</v>
      </c>
    </row>
    <row r="9150" spans="1:2" x14ac:dyDescent="0.25">
      <c r="A9150" t="s">
        <v>133</v>
      </c>
      <c r="B9150">
        <v>0</v>
      </c>
    </row>
    <row r="9151" spans="1:2" x14ac:dyDescent="0.25">
      <c r="A9151" t="s">
        <v>134</v>
      </c>
      <c r="B9151">
        <v>96677155</v>
      </c>
    </row>
    <row r="9152" spans="1:2" x14ac:dyDescent="0.25">
      <c r="A9152" t="s">
        <v>135</v>
      </c>
      <c r="B9152">
        <v>27437694</v>
      </c>
    </row>
  </sheetData>
  <conditionalFormatting sqref="F31:G31">
    <cfRule type="uniqueValues" dxfId="0" priority="1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ommandButton3">
          <controlPr defaultSize="0" autoLine="0" r:id="rId4">
            <anchor moveWithCells="1">
              <from>
                <xdr:col>12</xdr:col>
                <xdr:colOff>28575</xdr:colOff>
                <xdr:row>11</xdr:row>
                <xdr:rowOff>95250</xdr:rowOff>
              </from>
              <to>
                <xdr:col>12</xdr:col>
                <xdr:colOff>942975</xdr:colOff>
                <xdr:row>13</xdr:row>
                <xdr:rowOff>0</xdr:rowOff>
              </to>
            </anchor>
          </controlPr>
        </control>
      </mc:Choice>
      <mc:Fallback>
        <control shapeId="1027" r:id="rId3" name="CommandButton3"/>
      </mc:Fallback>
    </mc:AlternateContent>
    <mc:AlternateContent xmlns:mc="http://schemas.openxmlformats.org/markup-compatibility/2006">
      <mc:Choice Requires="x14">
        <control shapeId="1026" r:id="rId5" name="CommandButton2">
          <controlPr defaultSize="0" autoLine="0" r:id="rId6">
            <anchor moveWithCells="1">
              <from>
                <xdr:col>10</xdr:col>
                <xdr:colOff>914400</xdr:colOff>
                <xdr:row>11</xdr:row>
                <xdr:rowOff>104775</xdr:rowOff>
              </from>
              <to>
                <xdr:col>11</xdr:col>
                <xdr:colOff>800100</xdr:colOff>
                <xdr:row>13</xdr:row>
                <xdr:rowOff>9525</xdr:rowOff>
              </to>
            </anchor>
          </controlPr>
        </control>
      </mc:Choice>
      <mc:Fallback>
        <control shapeId="1026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9</xdr:col>
                <xdr:colOff>847725</xdr:colOff>
                <xdr:row>11</xdr:row>
                <xdr:rowOff>95250</xdr:rowOff>
              </from>
              <to>
                <xdr:col>10</xdr:col>
                <xdr:colOff>733425</xdr:colOff>
                <xdr:row>13</xdr:row>
                <xdr:rowOff>0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Oğuzhan Bahçeci</dc:creator>
  <cp:lastModifiedBy>Oğuzhan Bahçeci</cp:lastModifiedBy>
  <dcterms:created xsi:type="dcterms:W3CDTF">2015-06-05T18:19:34Z</dcterms:created>
  <dcterms:modified xsi:type="dcterms:W3CDTF">2024-08-05T17:23:44Z</dcterms:modified>
</cp:coreProperties>
</file>